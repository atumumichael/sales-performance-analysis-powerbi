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ocuments\training\"/>
    </mc:Choice>
  </mc:AlternateContent>
  <xr:revisionPtr revIDLastSave="0" documentId="13_ncr:1_{2960BBA1-6F1B-41BC-9E06-5431A11C40F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4" r:id="rId1"/>
    <sheet name="Sales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</calcChain>
</file>

<file path=xl/sharedStrings.xml><?xml version="1.0" encoding="utf-8"?>
<sst xmlns="http://schemas.openxmlformats.org/spreadsheetml/2006/main" count="3060" uniqueCount="348">
  <si>
    <t>OrderID</t>
  </si>
  <si>
    <t>OrderDate</t>
  </si>
  <si>
    <t>Region</t>
  </si>
  <si>
    <t>Category</t>
  </si>
  <si>
    <t>Product</t>
  </si>
  <si>
    <t>Sales</t>
  </si>
  <si>
    <t>Profit</t>
  </si>
  <si>
    <t>Quantity</t>
  </si>
  <si>
    <t>Segment</t>
  </si>
  <si>
    <t>2023-05-21</t>
  </si>
  <si>
    <t>North</t>
  </si>
  <si>
    <t>Office Supplies</t>
  </si>
  <si>
    <t>Paper</t>
  </si>
  <si>
    <t>Home Office</t>
  </si>
  <si>
    <t>2023-08-05</t>
  </si>
  <si>
    <t>Pen Pack</t>
  </si>
  <si>
    <t>2023-11-29</t>
  </si>
  <si>
    <t>South</t>
  </si>
  <si>
    <t>2023-05-23</t>
  </si>
  <si>
    <t>West</t>
  </si>
  <si>
    <t>Technology</t>
  </si>
  <si>
    <t>Monitor</t>
  </si>
  <si>
    <t>Corporate</t>
  </si>
  <si>
    <t>2023-05-16</t>
  </si>
  <si>
    <t>East</t>
  </si>
  <si>
    <t>Keyboard</t>
  </si>
  <si>
    <t>2023-11-13</t>
  </si>
  <si>
    <t>Furniture</t>
  </si>
  <si>
    <t>Chair</t>
  </si>
  <si>
    <t>2023-02-21</t>
  </si>
  <si>
    <t>Consumer</t>
  </si>
  <si>
    <t>2023-12-10</t>
  </si>
  <si>
    <t>2023-07-14</t>
  </si>
  <si>
    <t>Notebook</t>
  </si>
  <si>
    <t>2023-07-25</t>
  </si>
  <si>
    <t>2023-11-26</t>
  </si>
  <si>
    <t>Desk</t>
  </si>
  <si>
    <t>2023-10-27</t>
  </si>
  <si>
    <t>2023-01-25</t>
  </si>
  <si>
    <t>Tablet</t>
  </si>
  <si>
    <t>2023-11-02</t>
  </si>
  <si>
    <t>2023-06-24</t>
  </si>
  <si>
    <t>Laptop</t>
  </si>
  <si>
    <t>2023-02-24</t>
  </si>
  <si>
    <t>Printer Ink</t>
  </si>
  <si>
    <t>2023-06-15</t>
  </si>
  <si>
    <t>2023-10-18</t>
  </si>
  <si>
    <t>2023-09-01</t>
  </si>
  <si>
    <t>2023-06-09</t>
  </si>
  <si>
    <t>2023-01-11</t>
  </si>
  <si>
    <t>2023-01-17</t>
  </si>
  <si>
    <t>2023-10-20</t>
  </si>
  <si>
    <t>2023-08-09</t>
  </si>
  <si>
    <t>2023-06-23</t>
  </si>
  <si>
    <t>2023-08-25</t>
  </si>
  <si>
    <t>Mouse</t>
  </si>
  <si>
    <t>2023-05-02</t>
  </si>
  <si>
    <t>2023-01-02</t>
  </si>
  <si>
    <t>2023-04-08</t>
  </si>
  <si>
    <t>2023-11-01</t>
  </si>
  <si>
    <t>2023-02-11</t>
  </si>
  <si>
    <t>2023-07-22</t>
  </si>
  <si>
    <t>2023-10-16</t>
  </si>
  <si>
    <t>2023-07-09</t>
  </si>
  <si>
    <t>2023-10-11</t>
  </si>
  <si>
    <t>2023-05-25</t>
  </si>
  <si>
    <t>2023-01-27</t>
  </si>
  <si>
    <t>2023-08-15</t>
  </si>
  <si>
    <t>2023-10-26</t>
  </si>
  <si>
    <t>2023-12-16</t>
  </si>
  <si>
    <t>2023-04-01</t>
  </si>
  <si>
    <t>2023-12-26</t>
  </si>
  <si>
    <t>2023-04-25</t>
  </si>
  <si>
    <t>Table</t>
  </si>
  <si>
    <t>2023-09-18</t>
  </si>
  <si>
    <t>2023-02-25</t>
  </si>
  <si>
    <t>2023-02-05</t>
  </si>
  <si>
    <t>2023-07-26</t>
  </si>
  <si>
    <t>2023-10-08</t>
  </si>
  <si>
    <t>2023-09-21</t>
  </si>
  <si>
    <t>2023-01-24</t>
  </si>
  <si>
    <t>2023-12-23</t>
  </si>
  <si>
    <t>2023-04-23</t>
  </si>
  <si>
    <t>2023-12-08</t>
  </si>
  <si>
    <t>Stapler</t>
  </si>
  <si>
    <t>2023-08-14</t>
  </si>
  <si>
    <t>2023-04-29</t>
  </si>
  <si>
    <t>2023-02-01</t>
  </si>
  <si>
    <t>2023-01-04</t>
  </si>
  <si>
    <t>2023-03-07</t>
  </si>
  <si>
    <t>2023-08-08</t>
  </si>
  <si>
    <t>2023-06-22</t>
  </si>
  <si>
    <t>2023-03-06</t>
  </si>
  <si>
    <t>2023-11-07</t>
  </si>
  <si>
    <t>2023-04-12</t>
  </si>
  <si>
    <t>Shelf</t>
  </si>
  <si>
    <t>2023-01-22</t>
  </si>
  <si>
    <t>2023-09-08</t>
  </si>
  <si>
    <t>2023-09-25</t>
  </si>
  <si>
    <t>2023-05-06</t>
  </si>
  <si>
    <t>2023-01-15</t>
  </si>
  <si>
    <t>2023-05-04</t>
  </si>
  <si>
    <t>2023-12-06</t>
  </si>
  <si>
    <t>2023-08-21</t>
  </si>
  <si>
    <t>2023-10-02</t>
  </si>
  <si>
    <t>2023-04-10</t>
  </si>
  <si>
    <t>2023-05-26</t>
  </si>
  <si>
    <t>2023-02-03</t>
  </si>
  <si>
    <t>2023-06-05</t>
  </si>
  <si>
    <t>2023-11-17</t>
  </si>
  <si>
    <t>2023-02-28</t>
  </si>
  <si>
    <t>2023-06-07</t>
  </si>
  <si>
    <t>2023-10-04</t>
  </si>
  <si>
    <t>2023-02-16</t>
  </si>
  <si>
    <t>2023-04-03</t>
  </si>
  <si>
    <t>2023-06-14</t>
  </si>
  <si>
    <t>2023-02-15</t>
  </si>
  <si>
    <t>2023-01-28</t>
  </si>
  <si>
    <t>2023-05-17</t>
  </si>
  <si>
    <t>2023-11-08</t>
  </si>
  <si>
    <t>2023-08-30</t>
  </si>
  <si>
    <t>2023-05-22</t>
  </si>
  <si>
    <t>2023-08-17</t>
  </si>
  <si>
    <t>2023-04-07</t>
  </si>
  <si>
    <t>2023-03-15</t>
  </si>
  <si>
    <t>2023-12-13</t>
  </si>
  <si>
    <t>2023-05-09</t>
  </si>
  <si>
    <t>2023-07-03</t>
  </si>
  <si>
    <t>2023-10-17</t>
  </si>
  <si>
    <t>2023-03-09</t>
  </si>
  <si>
    <t>2023-09-14</t>
  </si>
  <si>
    <t>2023-02-08</t>
  </si>
  <si>
    <t>2023-01-08</t>
  </si>
  <si>
    <t>2023-07-10</t>
  </si>
  <si>
    <t>2023-02-02</t>
  </si>
  <si>
    <t>2023-03-01</t>
  </si>
  <si>
    <t>2023-12-02</t>
  </si>
  <si>
    <t>2023-08-16</t>
  </si>
  <si>
    <t>2023-06-20</t>
  </si>
  <si>
    <t>2023-06-18</t>
  </si>
  <si>
    <t>2023-12-05</t>
  </si>
  <si>
    <t>2023-03-31</t>
  </si>
  <si>
    <t>2023-07-05</t>
  </si>
  <si>
    <t>2023-08-20</t>
  </si>
  <si>
    <t>2023-06-10</t>
  </si>
  <si>
    <t>2023-08-10</t>
  </si>
  <si>
    <t>2023-03-04</t>
  </si>
  <si>
    <t>2023-06-29</t>
  </si>
  <si>
    <t>2023-03-14</t>
  </si>
  <si>
    <t>2023-06-17</t>
  </si>
  <si>
    <t>2023-07-23</t>
  </si>
  <si>
    <t>2023-11-24</t>
  </si>
  <si>
    <t>2023-02-07</t>
  </si>
  <si>
    <t>2023-11-30</t>
  </si>
  <si>
    <t>2023-02-13</t>
  </si>
  <si>
    <t>2023-02-18</t>
  </si>
  <si>
    <t>2023-12-29</t>
  </si>
  <si>
    <t>2023-04-09</t>
  </si>
  <si>
    <t>2023-08-13</t>
  </si>
  <si>
    <t>2023-10-01</t>
  </si>
  <si>
    <t>2023-07-15</t>
  </si>
  <si>
    <t>2023-11-25</t>
  </si>
  <si>
    <t>2023-03-24</t>
  </si>
  <si>
    <t>2023-01-14</t>
  </si>
  <si>
    <t>2023-03-18</t>
  </si>
  <si>
    <t>2023-05-03</t>
  </si>
  <si>
    <t>2023-12-09</t>
  </si>
  <si>
    <t>2023-08-29</t>
  </si>
  <si>
    <t>2023-12-03</t>
  </si>
  <si>
    <t>2023-09-03</t>
  </si>
  <si>
    <t>2023-01-23</t>
  </si>
  <si>
    <t>2023-11-28</t>
  </si>
  <si>
    <t>2023-08-12</t>
  </si>
  <si>
    <t>2023-02-22</t>
  </si>
  <si>
    <t>2023-01-30</t>
  </si>
  <si>
    <t>2023-03-12</t>
  </si>
  <si>
    <t>2023-04-06</t>
  </si>
  <si>
    <t>2023-05-27</t>
  </si>
  <si>
    <t>2023-12-30</t>
  </si>
  <si>
    <t>2023-12-15</t>
  </si>
  <si>
    <t>2023-01-29</t>
  </si>
  <si>
    <t>2023-11-16</t>
  </si>
  <si>
    <t>2023-10-23</t>
  </si>
  <si>
    <t>2023-06-04</t>
  </si>
  <si>
    <t>2023-08-01</t>
  </si>
  <si>
    <t>2023-03-08</t>
  </si>
  <si>
    <t>2023-05-07</t>
  </si>
  <si>
    <t>2023-09-12</t>
  </si>
  <si>
    <t>2023-01-26</t>
  </si>
  <si>
    <t>2023-03-10</t>
  </si>
  <si>
    <t>2023-02-19</t>
  </si>
  <si>
    <t>2023-01-21</t>
  </si>
  <si>
    <t>2023-02-26</t>
  </si>
  <si>
    <t>2023-10-24</t>
  </si>
  <si>
    <t>2023-03-19</t>
  </si>
  <si>
    <t>2023-04-17</t>
  </si>
  <si>
    <t>2023-06-25</t>
  </si>
  <si>
    <t>2023-03-16</t>
  </si>
  <si>
    <t>2023-04-14</t>
  </si>
  <si>
    <t>2023-09-16</t>
  </si>
  <si>
    <t>2023-12-01</t>
  </si>
  <si>
    <t>2023-09-15</t>
  </si>
  <si>
    <t>2023-03-20</t>
  </si>
  <si>
    <t>2023-04-16</t>
  </si>
  <si>
    <t>2023-08-18</t>
  </si>
  <si>
    <t>2023-04-02</t>
  </si>
  <si>
    <t>2023-08-26</t>
  </si>
  <si>
    <t>2023-11-03</t>
  </si>
  <si>
    <t>2023-10-03</t>
  </si>
  <si>
    <t>2023-07-31</t>
  </si>
  <si>
    <t>2023-10-28</t>
  </si>
  <si>
    <t>2023-10-05</t>
  </si>
  <si>
    <t>2023-01-09</t>
  </si>
  <si>
    <t>2023-02-10</t>
  </si>
  <si>
    <t>2023-03-29</t>
  </si>
  <si>
    <t>2023-04-19</t>
  </si>
  <si>
    <t>2023-06-11</t>
  </si>
  <si>
    <t>2023-03-25</t>
  </si>
  <si>
    <t>2023-03-13</t>
  </si>
  <si>
    <t>2023-11-11</t>
  </si>
  <si>
    <t>2023-07-04</t>
  </si>
  <si>
    <t>2023-09-24</t>
  </si>
  <si>
    <t>2023-03-27</t>
  </si>
  <si>
    <t>2023-12-22</t>
  </si>
  <si>
    <t>2023-04-13</t>
  </si>
  <si>
    <t>2023-05-30</t>
  </si>
  <si>
    <t>2023-01-19</t>
  </si>
  <si>
    <t>2023-01-06</t>
  </si>
  <si>
    <t>2023-07-11</t>
  </si>
  <si>
    <t>2023-02-23</t>
  </si>
  <si>
    <t>2023-02-04</t>
  </si>
  <si>
    <t>2023-05-05</t>
  </si>
  <si>
    <t>2023-11-19</t>
  </si>
  <si>
    <t>2023-10-31</t>
  </si>
  <si>
    <t>2023-07-18</t>
  </si>
  <si>
    <t>2023-10-30</t>
  </si>
  <si>
    <t>2023-11-22</t>
  </si>
  <si>
    <t>2023-11-14</t>
  </si>
  <si>
    <t>2023-09-09</t>
  </si>
  <si>
    <t>2023-04-18</t>
  </si>
  <si>
    <t>2023-10-21</t>
  </si>
  <si>
    <t>2023-07-08</t>
  </si>
  <si>
    <t>2023-12-07</t>
  </si>
  <si>
    <t>2023-02-20</t>
  </si>
  <si>
    <t>2023-01-05</t>
  </si>
  <si>
    <t>2023-12-18</t>
  </si>
  <si>
    <t>2023-01-07</t>
  </si>
  <si>
    <t>2023-01-31</t>
  </si>
  <si>
    <t>2023-09-19</t>
  </si>
  <si>
    <t>2023-12-12</t>
  </si>
  <si>
    <t>2023-07-06</t>
  </si>
  <si>
    <t>2023-05-08</t>
  </si>
  <si>
    <t>2023-01-13</t>
  </si>
  <si>
    <t>2023-07-12</t>
  </si>
  <si>
    <t>2023-12-31</t>
  </si>
  <si>
    <t>2023-05-20</t>
  </si>
  <si>
    <t>2023-03-26</t>
  </si>
  <si>
    <t>2023-03-17</t>
  </si>
  <si>
    <t>2023-01-16</t>
  </si>
  <si>
    <t>2023-01-12</t>
  </si>
  <si>
    <t>2023-01-18</t>
  </si>
  <si>
    <t>2023-05-24</t>
  </si>
  <si>
    <t>2023-10-22</t>
  </si>
  <si>
    <t>2023-12-25</t>
  </si>
  <si>
    <t>2023-01-20</t>
  </si>
  <si>
    <t>2023-12-19</t>
  </si>
  <si>
    <t>2023-02-09</t>
  </si>
  <si>
    <t>2023-05-14</t>
  </si>
  <si>
    <t>2023-04-27</t>
  </si>
  <si>
    <t>2023-06-03</t>
  </si>
  <si>
    <t>2023-11-18</t>
  </si>
  <si>
    <t>2023-03-30</t>
  </si>
  <si>
    <t>2023-06-19</t>
  </si>
  <si>
    <t>2023-08-02</t>
  </si>
  <si>
    <t>2023-06-28</t>
  </si>
  <si>
    <t>2023-12-17</t>
  </si>
  <si>
    <t>2023-06-13</t>
  </si>
  <si>
    <t>2023-11-21</t>
  </si>
  <si>
    <t>2023-06-26</t>
  </si>
  <si>
    <t>2023-06-02</t>
  </si>
  <si>
    <t>2023-05-11</t>
  </si>
  <si>
    <t>2023-11-15</t>
  </si>
  <si>
    <t>2023-07-17</t>
  </si>
  <si>
    <t>2023-10-13</t>
  </si>
  <si>
    <t>2023-07-29</t>
  </si>
  <si>
    <t>2023-12-04</t>
  </si>
  <si>
    <t>2023-09-05</t>
  </si>
  <si>
    <t>2023-11-04</t>
  </si>
  <si>
    <t>2023-10-12</t>
  </si>
  <si>
    <t>2023-03-21</t>
  </si>
  <si>
    <t>2023-03-23</t>
  </si>
  <si>
    <t>2023-06-27</t>
  </si>
  <si>
    <t>2023-02-06</t>
  </si>
  <si>
    <t>2023-07-27</t>
  </si>
  <si>
    <t>2023-07-20</t>
  </si>
  <si>
    <t>2023-11-27</t>
  </si>
  <si>
    <t>2023-10-10</t>
  </si>
  <si>
    <t>2023-10-29</t>
  </si>
  <si>
    <t>2023-07-13</t>
  </si>
  <si>
    <t>2023-04-21</t>
  </si>
  <si>
    <t>2023-09-04</t>
  </si>
  <si>
    <t>2023-12-24</t>
  </si>
  <si>
    <t>2023-01-03</t>
  </si>
  <si>
    <t>2023-03-02</t>
  </si>
  <si>
    <t>2023-08-11</t>
  </si>
  <si>
    <t>2023-03-28</t>
  </si>
  <si>
    <t>2023-06-30</t>
  </si>
  <si>
    <t>2023-02-17</t>
  </si>
  <si>
    <t>2023-11-10</t>
  </si>
  <si>
    <t>2023-05-19</t>
  </si>
  <si>
    <t>2023-07-01</t>
  </si>
  <si>
    <t>2023-11-20</t>
  </si>
  <si>
    <t>2023-07-02</t>
  </si>
  <si>
    <t>2023-01-01</t>
  </si>
  <si>
    <t>2023-10-15</t>
  </si>
  <si>
    <t>2023-05-15</t>
  </si>
  <si>
    <t>2023-09-30</t>
  </si>
  <si>
    <t>2023-10-25</t>
  </si>
  <si>
    <t>2023-06-12</t>
  </si>
  <si>
    <t>2023-09-29</t>
  </si>
  <si>
    <t>2023-04-05</t>
  </si>
  <si>
    <t>2023-09-26</t>
  </si>
  <si>
    <t>2023-07-07</t>
  </si>
  <si>
    <t>2023-09-27</t>
  </si>
  <si>
    <t>2023-08-23</t>
  </si>
  <si>
    <t>2023-09-07</t>
  </si>
  <si>
    <t>2023-10-07</t>
  </si>
  <si>
    <t>2023-08-27</t>
  </si>
  <si>
    <t>Row Labels</t>
  </si>
  <si>
    <t>Grand Total</t>
  </si>
  <si>
    <t>Sum of Sales</t>
  </si>
  <si>
    <t>Sales Category</t>
  </si>
  <si>
    <t>Profit Margin</t>
  </si>
  <si>
    <t>Order Month</t>
  </si>
  <si>
    <t>Order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</si>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</sst>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095.555509259262" createdVersion="8" refreshedVersion="8" minRefreshableVersion="3" recordCount="600" xr:uid="{2B0424FE-314E-4801-AFB8-D7AD9EDD576C}">
  <cacheSource type="worksheet">
    <worksheetSource name="Table1"/>
  </cacheSource>
  <cacheFields count="13">
    <cacheField name="OrderID" numFmtId="0">
      <sharedItems containsSemiMixedTypes="0" containsString="0" containsNumber="1" containsInteger="1" minValue="1001" maxValue="1600"/>
    </cacheField>
    <cacheField name="Order Year" numFmtId="0">
      <sharedItems containsSemiMixedTypes="0" containsString="0" containsNumber="1" containsInteger="1" minValue="2023" maxValue="2023"/>
    </cacheField>
    <cacheField name="Order Month" numFmtId="0">
      <sharedItems count="12">
        <s v="May"/>
        <s v="August"/>
        <s v="November"/>
        <s v="February"/>
        <s v="December"/>
        <s v="July"/>
        <s v="October"/>
        <s v="January"/>
        <s v="June"/>
        <s v="September"/>
        <s v="April"/>
        <s v="March"/>
      </sharedItems>
    </cacheField>
    <cacheField name="OrderDate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3">
        <s v="Office Supplies"/>
        <s v="Technology"/>
        <s v="Furniture"/>
      </sharedItems>
    </cacheField>
    <cacheField name="Product" numFmtId="0">
      <sharedItems count="14">
        <s v="Paper"/>
        <s v="Pen Pack"/>
        <s v="Monitor"/>
        <s v="Keyboard"/>
        <s v="Chair"/>
        <s v="Notebook"/>
        <s v="Desk"/>
        <s v="Tablet"/>
        <s v="Laptop"/>
        <s v="Printer Ink"/>
        <s v="Mouse"/>
        <s v="Table"/>
        <s v="Stapler"/>
        <s v="Shelf"/>
      </sharedItems>
    </cacheField>
    <cacheField name="Sales Category" numFmtId="0">
      <sharedItems/>
    </cacheField>
    <cacheField name="Sales" numFmtId="0">
      <sharedItems containsSemiMixedTypes="0" containsString="0" containsNumber="1" containsInteger="1" minValue="32" maxValue="11130"/>
    </cacheField>
    <cacheField name="Profit" numFmtId="0">
      <sharedItems containsSemiMixedTypes="0" containsString="0" containsNumber="1" minValue="3.4" maxValue="3320.79"/>
    </cacheField>
    <cacheField name="Profit Margin" numFmtId="10">
      <sharedItems containsSemiMixedTypes="0" containsString="0" containsNumber="1" minValue="8.0056497175141239E-2" maxValue="0.34931818181818186"/>
    </cacheField>
    <cacheField name="Quantity" numFmtId="0">
      <sharedItems containsSemiMixedTypes="0" containsString="0" containsNumber="1" containsInteger="1" minValue="1" maxValue="10"/>
    </cacheField>
    <cacheField name="Segment" numFmtId="0">
      <sharedItems count="3">
        <s v="Home Office"/>
        <s v="Corporate"/>
        <s v="Consumer"/>
      </sharedItems>
    </cacheField>
  </cacheFields>
  <extLst>
    <ext xmlns:x14="http://schemas.microsoft.com/office/spreadsheetml/2009/9/main" uri="{725AE2AE-9491-48be-B2B4-4EB974FC3084}">
      <x14:pivotCacheDefinition pivotCacheId="17346477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1"/>
    <n v="2023"/>
    <x v="0"/>
    <s v="2023-05-21"/>
    <x v="0"/>
    <x v="0"/>
    <x v="0"/>
    <s v="High"/>
    <n v="792"/>
    <n v="85.28"/>
    <n v="0.10767676767676768"/>
    <n v="4"/>
    <x v="0"/>
  </r>
  <r>
    <n v="1002"/>
    <n v="2023"/>
    <x v="1"/>
    <s v="2023-08-05"/>
    <x v="0"/>
    <x v="0"/>
    <x v="1"/>
    <s v="Low"/>
    <n v="65"/>
    <n v="9.2799999999999994"/>
    <n v="0.14276923076923076"/>
    <n v="1"/>
    <x v="0"/>
  </r>
  <r>
    <n v="1003"/>
    <n v="2023"/>
    <x v="2"/>
    <s v="2023-11-29"/>
    <x v="1"/>
    <x v="0"/>
    <x v="0"/>
    <s v="High"/>
    <n v="1116"/>
    <n v="266.83999999999997"/>
    <n v="0.23910394265232973"/>
    <n v="9"/>
    <x v="0"/>
  </r>
  <r>
    <n v="1004"/>
    <n v="2023"/>
    <x v="0"/>
    <s v="2023-05-23"/>
    <x v="2"/>
    <x v="1"/>
    <x v="2"/>
    <s v="High"/>
    <n v="1560"/>
    <n v="163.86"/>
    <n v="0.10503846153846155"/>
    <n v="3"/>
    <x v="1"/>
  </r>
  <r>
    <n v="1005"/>
    <n v="2023"/>
    <x v="0"/>
    <s v="2023-05-16"/>
    <x v="3"/>
    <x v="1"/>
    <x v="3"/>
    <s v="High"/>
    <n v="1020"/>
    <n v="349.6"/>
    <n v="0.34274509803921571"/>
    <n v="1"/>
    <x v="0"/>
  </r>
  <r>
    <n v="1006"/>
    <n v="2023"/>
    <x v="2"/>
    <s v="2023-11-13"/>
    <x v="3"/>
    <x v="2"/>
    <x v="4"/>
    <s v="High"/>
    <n v="5226"/>
    <n v="482.74"/>
    <n v="9.2372751626482966E-2"/>
    <n v="6"/>
    <x v="0"/>
  </r>
  <r>
    <n v="1007"/>
    <n v="2023"/>
    <x v="3"/>
    <s v="2023-02-21"/>
    <x v="0"/>
    <x v="1"/>
    <x v="3"/>
    <s v="High"/>
    <n v="4543"/>
    <n v="1386.57"/>
    <n v="0.30521021351529826"/>
    <n v="7"/>
    <x v="2"/>
  </r>
  <r>
    <n v="1008"/>
    <n v="2023"/>
    <x v="4"/>
    <s v="2023-12-10"/>
    <x v="3"/>
    <x v="1"/>
    <x v="3"/>
    <s v="High"/>
    <n v="1130"/>
    <n v="142.61000000000001"/>
    <n v="0.12620353982300886"/>
    <n v="5"/>
    <x v="2"/>
  </r>
  <r>
    <n v="1009"/>
    <n v="2023"/>
    <x v="5"/>
    <s v="2023-07-14"/>
    <x v="1"/>
    <x v="0"/>
    <x v="5"/>
    <s v="Medium"/>
    <n v="465"/>
    <n v="143.02000000000001"/>
    <n v="0.30756989247311828"/>
    <n v="5"/>
    <x v="1"/>
  </r>
  <r>
    <n v="1010"/>
    <n v="2023"/>
    <x v="5"/>
    <s v="2023-07-25"/>
    <x v="0"/>
    <x v="1"/>
    <x v="2"/>
    <s v="High"/>
    <n v="1075"/>
    <n v="340.37"/>
    <n v="0.31662325581395351"/>
    <n v="5"/>
    <x v="1"/>
  </r>
  <r>
    <n v="1011"/>
    <n v="2023"/>
    <x v="2"/>
    <s v="2023-11-26"/>
    <x v="2"/>
    <x v="2"/>
    <x v="6"/>
    <s v="High"/>
    <n v="3368"/>
    <n v="493.71"/>
    <n v="0.14658847980997625"/>
    <n v="8"/>
    <x v="1"/>
  </r>
  <r>
    <n v="1012"/>
    <n v="2023"/>
    <x v="6"/>
    <s v="2023-10-27"/>
    <x v="3"/>
    <x v="0"/>
    <x v="1"/>
    <s v="Medium"/>
    <n v="462"/>
    <n v="161.37"/>
    <n v="0.34928571428571431"/>
    <n v="7"/>
    <x v="0"/>
  </r>
  <r>
    <n v="1013"/>
    <n v="2023"/>
    <x v="7"/>
    <s v="2023-01-25"/>
    <x v="2"/>
    <x v="1"/>
    <x v="7"/>
    <s v="High"/>
    <n v="786"/>
    <n v="230.98"/>
    <n v="0.29386768447837147"/>
    <n v="2"/>
    <x v="2"/>
  </r>
  <r>
    <n v="1014"/>
    <n v="2023"/>
    <x v="2"/>
    <s v="2023-11-02"/>
    <x v="2"/>
    <x v="2"/>
    <x v="4"/>
    <s v="High"/>
    <n v="3256"/>
    <n v="1017.21"/>
    <n v="0.3124109336609337"/>
    <n v="8"/>
    <x v="1"/>
  </r>
  <r>
    <n v="1015"/>
    <n v="2023"/>
    <x v="8"/>
    <s v="2023-06-24"/>
    <x v="3"/>
    <x v="1"/>
    <x v="8"/>
    <s v="High"/>
    <n v="1362"/>
    <n v="275.81"/>
    <n v="0.20250367107195302"/>
    <n v="2"/>
    <x v="0"/>
  </r>
  <r>
    <n v="1016"/>
    <n v="2023"/>
    <x v="3"/>
    <s v="2023-02-24"/>
    <x v="1"/>
    <x v="0"/>
    <x v="9"/>
    <s v="Medium"/>
    <n v="300"/>
    <n v="36.380000000000003"/>
    <n v="0.12126666666666668"/>
    <n v="5"/>
    <x v="0"/>
  </r>
  <r>
    <n v="1017"/>
    <n v="2023"/>
    <x v="8"/>
    <s v="2023-06-15"/>
    <x v="0"/>
    <x v="1"/>
    <x v="7"/>
    <s v="High"/>
    <n v="952"/>
    <n v="302.02999999999997"/>
    <n v="0.31725840336134453"/>
    <n v="8"/>
    <x v="0"/>
  </r>
  <r>
    <n v="1018"/>
    <n v="2023"/>
    <x v="6"/>
    <s v="2023-10-18"/>
    <x v="0"/>
    <x v="2"/>
    <x v="6"/>
    <s v="High"/>
    <n v="1798"/>
    <n v="539.99"/>
    <n v="0.30032814238042271"/>
    <n v="2"/>
    <x v="2"/>
  </r>
  <r>
    <n v="1019"/>
    <n v="2023"/>
    <x v="9"/>
    <s v="2023-09-01"/>
    <x v="1"/>
    <x v="0"/>
    <x v="5"/>
    <s v="High"/>
    <n v="1305"/>
    <n v="411.8"/>
    <n v="0.31555555555555559"/>
    <n v="9"/>
    <x v="0"/>
  </r>
  <r>
    <n v="1020"/>
    <n v="2023"/>
    <x v="8"/>
    <s v="2023-06-09"/>
    <x v="1"/>
    <x v="2"/>
    <x v="6"/>
    <s v="High"/>
    <n v="4186"/>
    <n v="845.16"/>
    <n v="0.20190157668418537"/>
    <n v="7"/>
    <x v="0"/>
  </r>
  <r>
    <n v="1021"/>
    <n v="2023"/>
    <x v="7"/>
    <s v="2023-01-11"/>
    <x v="0"/>
    <x v="1"/>
    <x v="2"/>
    <s v="High"/>
    <n v="5510"/>
    <n v="451.5"/>
    <n v="8.1941923774954628E-2"/>
    <n v="10"/>
    <x v="1"/>
  </r>
  <r>
    <n v="1022"/>
    <n v="2023"/>
    <x v="7"/>
    <s v="2023-01-17"/>
    <x v="1"/>
    <x v="0"/>
    <x v="0"/>
    <s v="Medium"/>
    <n v="420"/>
    <n v="65.180000000000007"/>
    <n v="0.15519047619047621"/>
    <n v="6"/>
    <x v="2"/>
  </r>
  <r>
    <n v="1023"/>
    <n v="2023"/>
    <x v="6"/>
    <s v="2023-10-20"/>
    <x v="1"/>
    <x v="2"/>
    <x v="6"/>
    <s v="High"/>
    <n v="3980"/>
    <n v="1186.1400000000001"/>
    <n v="0.29802512562814071"/>
    <n v="10"/>
    <x v="0"/>
  </r>
  <r>
    <n v="1024"/>
    <n v="2023"/>
    <x v="1"/>
    <s v="2023-08-09"/>
    <x v="0"/>
    <x v="1"/>
    <x v="8"/>
    <s v="High"/>
    <n v="5682"/>
    <n v="1779.81"/>
    <n v="0.31323653643083421"/>
    <n v="6"/>
    <x v="0"/>
  </r>
  <r>
    <n v="1025"/>
    <n v="2023"/>
    <x v="8"/>
    <s v="2023-06-23"/>
    <x v="0"/>
    <x v="1"/>
    <x v="8"/>
    <s v="High"/>
    <n v="1178"/>
    <n v="264.81"/>
    <n v="0.2247962648556876"/>
    <n v="2"/>
    <x v="1"/>
  </r>
  <r>
    <n v="1026"/>
    <n v="2023"/>
    <x v="1"/>
    <s v="2023-08-25"/>
    <x v="1"/>
    <x v="1"/>
    <x v="10"/>
    <s v="High"/>
    <n v="936"/>
    <n v="99.62"/>
    <n v="0.10643162393162393"/>
    <n v="4"/>
    <x v="1"/>
  </r>
  <r>
    <n v="1027"/>
    <n v="2023"/>
    <x v="0"/>
    <s v="2023-05-02"/>
    <x v="0"/>
    <x v="0"/>
    <x v="1"/>
    <s v="Medium"/>
    <n v="399"/>
    <n v="54.95"/>
    <n v="0.13771929824561405"/>
    <n v="3"/>
    <x v="2"/>
  </r>
  <r>
    <n v="1028"/>
    <n v="2023"/>
    <x v="7"/>
    <s v="2023-01-02"/>
    <x v="1"/>
    <x v="2"/>
    <x v="4"/>
    <s v="High"/>
    <n v="4305"/>
    <n v="836.08"/>
    <n v="0.19421138211382113"/>
    <n v="7"/>
    <x v="1"/>
  </r>
  <r>
    <n v="1029"/>
    <n v="2023"/>
    <x v="10"/>
    <s v="2023-04-08"/>
    <x v="2"/>
    <x v="0"/>
    <x v="1"/>
    <s v="High"/>
    <n v="790"/>
    <n v="220.13"/>
    <n v="0.27864556962025316"/>
    <n v="5"/>
    <x v="2"/>
  </r>
  <r>
    <n v="1030"/>
    <n v="2023"/>
    <x v="6"/>
    <s v="2023-10-27"/>
    <x v="0"/>
    <x v="1"/>
    <x v="3"/>
    <s v="High"/>
    <n v="8872"/>
    <n v="846.01"/>
    <n v="9.5357303877367003E-2"/>
    <n v="8"/>
    <x v="2"/>
  </r>
  <r>
    <n v="1031"/>
    <n v="2023"/>
    <x v="2"/>
    <s v="2023-11-01"/>
    <x v="1"/>
    <x v="0"/>
    <x v="0"/>
    <s v="Low"/>
    <n v="80"/>
    <n v="26.74"/>
    <n v="0.33424999999999999"/>
    <n v="2"/>
    <x v="2"/>
  </r>
  <r>
    <n v="1032"/>
    <n v="2023"/>
    <x v="3"/>
    <s v="2023-02-11"/>
    <x v="0"/>
    <x v="0"/>
    <x v="5"/>
    <s v="Medium"/>
    <n v="532"/>
    <n v="71.900000000000006"/>
    <n v="0.13515037593984963"/>
    <n v="7"/>
    <x v="0"/>
  </r>
  <r>
    <n v="1033"/>
    <n v="2023"/>
    <x v="5"/>
    <s v="2023-07-22"/>
    <x v="1"/>
    <x v="0"/>
    <x v="9"/>
    <s v="Medium"/>
    <n v="270"/>
    <n v="89.33"/>
    <n v="0.33085185185185184"/>
    <n v="3"/>
    <x v="1"/>
  </r>
  <r>
    <n v="1034"/>
    <n v="2023"/>
    <x v="6"/>
    <s v="2023-10-16"/>
    <x v="2"/>
    <x v="1"/>
    <x v="8"/>
    <s v="Medium"/>
    <n v="460"/>
    <n v="99.63"/>
    <n v="0.21658695652173912"/>
    <n v="2"/>
    <x v="0"/>
  </r>
  <r>
    <n v="1035"/>
    <n v="2023"/>
    <x v="5"/>
    <s v="2023-07-09"/>
    <x v="0"/>
    <x v="1"/>
    <x v="3"/>
    <s v="High"/>
    <n v="2015"/>
    <n v="543.96"/>
    <n v="0.26995533498759305"/>
    <n v="5"/>
    <x v="2"/>
  </r>
  <r>
    <n v="1036"/>
    <n v="2023"/>
    <x v="6"/>
    <s v="2023-10-11"/>
    <x v="0"/>
    <x v="0"/>
    <x v="1"/>
    <s v="Medium"/>
    <n v="385"/>
    <n v="42.8"/>
    <n v="0.11116883116883117"/>
    <n v="5"/>
    <x v="0"/>
  </r>
  <r>
    <n v="1037"/>
    <n v="2023"/>
    <x v="0"/>
    <s v="2023-05-25"/>
    <x v="1"/>
    <x v="1"/>
    <x v="7"/>
    <s v="High"/>
    <n v="5110"/>
    <n v="689.7"/>
    <n v="0.1349706457925636"/>
    <n v="10"/>
    <x v="1"/>
  </r>
  <r>
    <n v="1038"/>
    <n v="2023"/>
    <x v="7"/>
    <s v="2023-01-27"/>
    <x v="2"/>
    <x v="0"/>
    <x v="9"/>
    <s v="Low"/>
    <n v="42"/>
    <n v="3.4"/>
    <n v="8.0952380952380956E-2"/>
    <n v="2"/>
    <x v="1"/>
  </r>
  <r>
    <n v="1039"/>
    <n v="2023"/>
    <x v="1"/>
    <s v="2023-08-15"/>
    <x v="1"/>
    <x v="1"/>
    <x v="3"/>
    <s v="High"/>
    <n v="8595"/>
    <n v="947.22"/>
    <n v="0.11020593368237347"/>
    <n v="9"/>
    <x v="0"/>
  </r>
  <r>
    <n v="1040"/>
    <n v="2023"/>
    <x v="6"/>
    <s v="2023-10-26"/>
    <x v="0"/>
    <x v="0"/>
    <x v="5"/>
    <s v="Medium"/>
    <n v="378"/>
    <n v="34.51"/>
    <n v="9.1296296296296292E-2"/>
    <n v="9"/>
    <x v="1"/>
  </r>
  <r>
    <n v="1041"/>
    <n v="2023"/>
    <x v="4"/>
    <s v="2023-12-16"/>
    <x v="3"/>
    <x v="2"/>
    <x v="4"/>
    <s v="High"/>
    <n v="2048"/>
    <n v="652.73"/>
    <n v="0.31871582031250001"/>
    <n v="4"/>
    <x v="2"/>
  </r>
  <r>
    <n v="1042"/>
    <n v="2023"/>
    <x v="10"/>
    <s v="2023-04-01"/>
    <x v="1"/>
    <x v="2"/>
    <x v="6"/>
    <s v="High"/>
    <n v="2331"/>
    <n v="768.32"/>
    <n v="0.32960960960960961"/>
    <n v="7"/>
    <x v="2"/>
  </r>
  <r>
    <n v="1043"/>
    <n v="2023"/>
    <x v="4"/>
    <s v="2023-12-26"/>
    <x v="3"/>
    <x v="2"/>
    <x v="6"/>
    <s v="Medium"/>
    <n v="378"/>
    <n v="52.94"/>
    <n v="0.14005291005291004"/>
    <n v="2"/>
    <x v="2"/>
  </r>
  <r>
    <n v="1044"/>
    <n v="2023"/>
    <x v="10"/>
    <s v="2023-04-25"/>
    <x v="3"/>
    <x v="2"/>
    <x v="11"/>
    <s v="Medium"/>
    <n v="558"/>
    <n v="86.61"/>
    <n v="0.15521505376344086"/>
    <n v="1"/>
    <x v="2"/>
  </r>
  <r>
    <n v="1045"/>
    <n v="2023"/>
    <x v="9"/>
    <s v="2023-09-18"/>
    <x v="3"/>
    <x v="1"/>
    <x v="3"/>
    <s v="High"/>
    <n v="8246"/>
    <n v="916.48"/>
    <n v="0.11114237205918021"/>
    <n v="7"/>
    <x v="0"/>
  </r>
  <r>
    <n v="1046"/>
    <n v="2023"/>
    <x v="3"/>
    <s v="2023-02-25"/>
    <x v="3"/>
    <x v="2"/>
    <x v="6"/>
    <s v="High"/>
    <n v="5030"/>
    <n v="1470.45"/>
    <n v="0.29233598409542744"/>
    <n v="10"/>
    <x v="2"/>
  </r>
  <r>
    <n v="1047"/>
    <n v="2023"/>
    <x v="10"/>
    <s v="2023-04-08"/>
    <x v="2"/>
    <x v="2"/>
    <x v="4"/>
    <s v="High"/>
    <n v="4375"/>
    <n v="352"/>
    <n v="8.0457142857142852E-2"/>
    <n v="5"/>
    <x v="0"/>
  </r>
  <r>
    <n v="1048"/>
    <n v="2023"/>
    <x v="3"/>
    <s v="2023-02-05"/>
    <x v="3"/>
    <x v="0"/>
    <x v="5"/>
    <s v="Medium"/>
    <n v="246"/>
    <n v="67.489999999999995"/>
    <n v="0.27434959349593496"/>
    <n v="6"/>
    <x v="1"/>
  </r>
  <r>
    <n v="1049"/>
    <n v="2023"/>
    <x v="5"/>
    <s v="2023-07-26"/>
    <x v="2"/>
    <x v="2"/>
    <x v="11"/>
    <s v="High"/>
    <n v="1730"/>
    <n v="448.99"/>
    <n v="0.25953179190751446"/>
    <n v="5"/>
    <x v="1"/>
  </r>
  <r>
    <n v="1050"/>
    <n v="2023"/>
    <x v="6"/>
    <s v="2023-10-08"/>
    <x v="3"/>
    <x v="2"/>
    <x v="6"/>
    <s v="Medium"/>
    <n v="443"/>
    <n v="86.86"/>
    <n v="0.19607223476297969"/>
    <n v="1"/>
    <x v="1"/>
  </r>
  <r>
    <n v="1051"/>
    <n v="2023"/>
    <x v="1"/>
    <s v="2023-08-15"/>
    <x v="3"/>
    <x v="0"/>
    <x v="1"/>
    <s v="High"/>
    <n v="1048"/>
    <n v="308.44"/>
    <n v="0.29431297709923665"/>
    <n v="8"/>
    <x v="1"/>
  </r>
  <r>
    <n v="1052"/>
    <n v="2023"/>
    <x v="9"/>
    <s v="2023-09-21"/>
    <x v="0"/>
    <x v="0"/>
    <x v="5"/>
    <s v="High"/>
    <n v="700"/>
    <n v="183.16"/>
    <n v="0.26165714285714287"/>
    <n v="10"/>
    <x v="1"/>
  </r>
  <r>
    <n v="1053"/>
    <n v="2023"/>
    <x v="7"/>
    <s v="2023-01-24"/>
    <x v="1"/>
    <x v="1"/>
    <x v="2"/>
    <s v="High"/>
    <n v="4212"/>
    <n v="854.88"/>
    <n v="0.20296296296296296"/>
    <n v="4"/>
    <x v="2"/>
  </r>
  <r>
    <n v="1054"/>
    <n v="2023"/>
    <x v="4"/>
    <s v="2023-12-23"/>
    <x v="1"/>
    <x v="0"/>
    <x v="1"/>
    <s v="Medium"/>
    <n v="504"/>
    <n v="60.4"/>
    <n v="0.11984126984126983"/>
    <n v="7"/>
    <x v="0"/>
  </r>
  <r>
    <n v="1055"/>
    <n v="2023"/>
    <x v="10"/>
    <s v="2023-04-23"/>
    <x v="0"/>
    <x v="0"/>
    <x v="0"/>
    <s v="Low"/>
    <n v="66"/>
    <n v="15.21"/>
    <n v="0.23045454545454547"/>
    <n v="3"/>
    <x v="1"/>
  </r>
  <r>
    <n v="1056"/>
    <n v="2023"/>
    <x v="4"/>
    <s v="2023-12-08"/>
    <x v="1"/>
    <x v="1"/>
    <x v="10"/>
    <s v="High"/>
    <n v="6561"/>
    <n v="1968.64"/>
    <n v="0.30005182136869379"/>
    <n v="9"/>
    <x v="1"/>
  </r>
  <r>
    <n v="1057"/>
    <n v="2023"/>
    <x v="9"/>
    <s v="2023-09-01"/>
    <x v="2"/>
    <x v="0"/>
    <x v="12"/>
    <s v="High"/>
    <n v="1384"/>
    <n v="214.35"/>
    <n v="0.15487716763005779"/>
    <n v="8"/>
    <x v="2"/>
  </r>
  <r>
    <n v="1058"/>
    <n v="2023"/>
    <x v="1"/>
    <s v="2023-08-14"/>
    <x v="1"/>
    <x v="0"/>
    <x v="12"/>
    <s v="Low"/>
    <n v="158"/>
    <n v="26.97"/>
    <n v="0.17069620253164555"/>
    <n v="2"/>
    <x v="1"/>
  </r>
  <r>
    <n v="1059"/>
    <n v="2023"/>
    <x v="10"/>
    <s v="2023-04-29"/>
    <x v="1"/>
    <x v="0"/>
    <x v="0"/>
    <s v="Medium"/>
    <n v="448"/>
    <n v="43.61"/>
    <n v="9.7343749999999993E-2"/>
    <n v="7"/>
    <x v="2"/>
  </r>
  <r>
    <n v="1060"/>
    <n v="2023"/>
    <x v="3"/>
    <s v="2023-02-01"/>
    <x v="2"/>
    <x v="2"/>
    <x v="11"/>
    <s v="High"/>
    <n v="2192"/>
    <n v="735.28"/>
    <n v="0.33543795620437955"/>
    <n v="4"/>
    <x v="1"/>
  </r>
  <r>
    <n v="1061"/>
    <n v="2023"/>
    <x v="7"/>
    <s v="2023-01-04"/>
    <x v="2"/>
    <x v="1"/>
    <x v="7"/>
    <s v="High"/>
    <n v="4146"/>
    <n v="934.17"/>
    <n v="0.22531837916063674"/>
    <n v="6"/>
    <x v="1"/>
  </r>
  <r>
    <n v="1062"/>
    <n v="2023"/>
    <x v="10"/>
    <s v="2023-04-23"/>
    <x v="1"/>
    <x v="0"/>
    <x v="1"/>
    <s v="Low"/>
    <n v="85"/>
    <n v="15.72"/>
    <n v="0.18494117647058825"/>
    <n v="5"/>
    <x v="1"/>
  </r>
  <r>
    <n v="1063"/>
    <n v="2023"/>
    <x v="11"/>
    <s v="2023-03-07"/>
    <x v="1"/>
    <x v="0"/>
    <x v="12"/>
    <s v="High"/>
    <n v="1100"/>
    <n v="263.79000000000002"/>
    <n v="0.23980909090909092"/>
    <n v="10"/>
    <x v="1"/>
  </r>
  <r>
    <n v="1064"/>
    <n v="2023"/>
    <x v="1"/>
    <s v="2023-08-08"/>
    <x v="0"/>
    <x v="0"/>
    <x v="0"/>
    <s v="Low"/>
    <n v="66"/>
    <n v="9.92"/>
    <n v="0.1503030303030303"/>
    <n v="3"/>
    <x v="0"/>
  </r>
  <r>
    <n v="1065"/>
    <n v="2023"/>
    <x v="8"/>
    <s v="2023-06-22"/>
    <x v="2"/>
    <x v="2"/>
    <x v="6"/>
    <s v="High"/>
    <n v="4067"/>
    <n v="1242.17"/>
    <n v="0.30542660437669045"/>
    <n v="7"/>
    <x v="1"/>
  </r>
  <r>
    <n v="1066"/>
    <n v="2023"/>
    <x v="10"/>
    <s v="2023-04-25"/>
    <x v="0"/>
    <x v="2"/>
    <x v="4"/>
    <s v="Medium"/>
    <n v="362"/>
    <n v="48.45"/>
    <n v="0.13383977900552488"/>
    <n v="2"/>
    <x v="1"/>
  </r>
  <r>
    <n v="1067"/>
    <n v="2023"/>
    <x v="11"/>
    <s v="2023-03-06"/>
    <x v="1"/>
    <x v="1"/>
    <x v="7"/>
    <s v="High"/>
    <n v="2512"/>
    <n v="516.36"/>
    <n v="0.20555732484076433"/>
    <n v="8"/>
    <x v="2"/>
  </r>
  <r>
    <n v="1068"/>
    <n v="2023"/>
    <x v="2"/>
    <s v="2023-11-07"/>
    <x v="1"/>
    <x v="2"/>
    <x v="11"/>
    <s v="High"/>
    <n v="936"/>
    <n v="221.13"/>
    <n v="0.23624999999999999"/>
    <n v="2"/>
    <x v="0"/>
  </r>
  <r>
    <n v="1069"/>
    <n v="2023"/>
    <x v="10"/>
    <s v="2023-04-12"/>
    <x v="2"/>
    <x v="2"/>
    <x v="13"/>
    <s v="Medium"/>
    <n v="508"/>
    <n v="146.59"/>
    <n v="0.28856299212598424"/>
    <n v="2"/>
    <x v="0"/>
  </r>
  <r>
    <n v="1070"/>
    <n v="2023"/>
    <x v="7"/>
    <s v="2023-01-22"/>
    <x v="0"/>
    <x v="0"/>
    <x v="1"/>
    <s v="High"/>
    <n v="1074"/>
    <n v="193.38"/>
    <n v="0.18005586592178771"/>
    <n v="6"/>
    <x v="0"/>
  </r>
  <r>
    <n v="1071"/>
    <n v="2023"/>
    <x v="9"/>
    <s v="2023-09-08"/>
    <x v="0"/>
    <x v="0"/>
    <x v="9"/>
    <s v="Medium"/>
    <n v="344"/>
    <n v="110.33"/>
    <n v="0.32072674418604652"/>
    <n v="2"/>
    <x v="1"/>
  </r>
  <r>
    <n v="1072"/>
    <n v="2023"/>
    <x v="9"/>
    <s v="2023-09-25"/>
    <x v="2"/>
    <x v="2"/>
    <x v="6"/>
    <s v="High"/>
    <n v="3225"/>
    <n v="637.28"/>
    <n v="0.19760620155038758"/>
    <n v="5"/>
    <x v="2"/>
  </r>
  <r>
    <n v="1073"/>
    <n v="2023"/>
    <x v="0"/>
    <s v="2023-05-06"/>
    <x v="3"/>
    <x v="0"/>
    <x v="1"/>
    <s v="Low"/>
    <n v="144"/>
    <n v="40.700000000000003"/>
    <n v="0.28263888888888888"/>
    <n v="2"/>
    <x v="1"/>
  </r>
  <r>
    <n v="1074"/>
    <n v="2023"/>
    <x v="7"/>
    <s v="2023-01-15"/>
    <x v="2"/>
    <x v="0"/>
    <x v="1"/>
    <s v="High"/>
    <n v="1072"/>
    <n v="147.16"/>
    <n v="0.13727611940298506"/>
    <n v="8"/>
    <x v="1"/>
  </r>
  <r>
    <n v="1075"/>
    <n v="2023"/>
    <x v="4"/>
    <s v="2023-12-26"/>
    <x v="3"/>
    <x v="2"/>
    <x v="11"/>
    <s v="High"/>
    <n v="3395"/>
    <n v="350.08"/>
    <n v="0.10311634756995582"/>
    <n v="5"/>
    <x v="0"/>
  </r>
  <r>
    <n v="1076"/>
    <n v="2023"/>
    <x v="0"/>
    <s v="2023-05-04"/>
    <x v="2"/>
    <x v="0"/>
    <x v="12"/>
    <s v="Low"/>
    <n v="112"/>
    <n v="11.77"/>
    <n v="0.1050892857142857"/>
    <n v="8"/>
    <x v="0"/>
  </r>
  <r>
    <n v="1077"/>
    <n v="2023"/>
    <x v="4"/>
    <s v="2023-12-06"/>
    <x v="1"/>
    <x v="1"/>
    <x v="10"/>
    <s v="High"/>
    <n v="8350"/>
    <n v="1864.96"/>
    <n v="0.22334850299401199"/>
    <n v="10"/>
    <x v="1"/>
  </r>
  <r>
    <n v="1078"/>
    <n v="2023"/>
    <x v="1"/>
    <s v="2023-08-21"/>
    <x v="3"/>
    <x v="2"/>
    <x v="11"/>
    <s v="High"/>
    <n v="2035"/>
    <n v="229.09"/>
    <n v="0.11257493857493858"/>
    <n v="5"/>
    <x v="0"/>
  </r>
  <r>
    <n v="1079"/>
    <n v="2023"/>
    <x v="6"/>
    <s v="2023-10-02"/>
    <x v="0"/>
    <x v="1"/>
    <x v="3"/>
    <s v="High"/>
    <n v="1416"/>
    <n v="298.39999999999998"/>
    <n v="0.21073446327683615"/>
    <n v="3"/>
    <x v="0"/>
  </r>
  <r>
    <n v="1080"/>
    <n v="2023"/>
    <x v="10"/>
    <s v="2023-04-10"/>
    <x v="3"/>
    <x v="0"/>
    <x v="1"/>
    <s v="Medium"/>
    <n v="275"/>
    <n v="44.44"/>
    <n v="0.16159999999999999"/>
    <n v="5"/>
    <x v="2"/>
  </r>
  <r>
    <n v="1081"/>
    <n v="2023"/>
    <x v="7"/>
    <s v="2023-01-24"/>
    <x v="1"/>
    <x v="0"/>
    <x v="1"/>
    <s v="Low"/>
    <n v="42"/>
    <n v="10.59"/>
    <n v="0.25214285714285711"/>
    <n v="1"/>
    <x v="1"/>
  </r>
  <r>
    <n v="1082"/>
    <n v="2023"/>
    <x v="0"/>
    <s v="2023-05-26"/>
    <x v="0"/>
    <x v="2"/>
    <x v="4"/>
    <s v="High"/>
    <n v="4808"/>
    <n v="623.97"/>
    <n v="0.12977745424292847"/>
    <n v="8"/>
    <x v="0"/>
  </r>
  <r>
    <n v="1083"/>
    <n v="2023"/>
    <x v="3"/>
    <s v="2023-02-03"/>
    <x v="2"/>
    <x v="1"/>
    <x v="3"/>
    <s v="High"/>
    <n v="7609"/>
    <n v="1901.87"/>
    <n v="0.24995005914049151"/>
    <n v="7"/>
    <x v="2"/>
  </r>
  <r>
    <n v="1084"/>
    <n v="2023"/>
    <x v="8"/>
    <s v="2023-06-05"/>
    <x v="1"/>
    <x v="1"/>
    <x v="2"/>
    <s v="High"/>
    <n v="1176"/>
    <n v="336.81"/>
    <n v="0.28640306122448977"/>
    <n v="2"/>
    <x v="0"/>
  </r>
  <r>
    <n v="1085"/>
    <n v="2023"/>
    <x v="5"/>
    <s v="2023-07-14"/>
    <x v="1"/>
    <x v="0"/>
    <x v="1"/>
    <s v="High"/>
    <n v="1280"/>
    <n v="444.55"/>
    <n v="0.34730468749999999"/>
    <n v="8"/>
    <x v="0"/>
  </r>
  <r>
    <n v="1086"/>
    <n v="2023"/>
    <x v="2"/>
    <s v="2023-11-17"/>
    <x v="0"/>
    <x v="2"/>
    <x v="4"/>
    <s v="High"/>
    <n v="3304"/>
    <n v="404.43"/>
    <n v="0.12240617433414044"/>
    <n v="4"/>
    <x v="2"/>
  </r>
  <r>
    <n v="1087"/>
    <n v="2023"/>
    <x v="7"/>
    <s v="2023-01-02"/>
    <x v="0"/>
    <x v="1"/>
    <x v="7"/>
    <s v="High"/>
    <n v="7014"/>
    <n v="1451.03"/>
    <n v="0.20687624750499001"/>
    <n v="7"/>
    <x v="2"/>
  </r>
  <r>
    <n v="1088"/>
    <n v="2023"/>
    <x v="0"/>
    <s v="2023-05-25"/>
    <x v="3"/>
    <x v="1"/>
    <x v="2"/>
    <s v="High"/>
    <n v="1800"/>
    <n v="593.02"/>
    <n v="0.32945555555555556"/>
    <n v="8"/>
    <x v="0"/>
  </r>
  <r>
    <n v="1089"/>
    <n v="2023"/>
    <x v="3"/>
    <s v="2023-02-28"/>
    <x v="1"/>
    <x v="0"/>
    <x v="1"/>
    <s v="Medium"/>
    <n v="432"/>
    <n v="140.52000000000001"/>
    <n v="0.32527777777777778"/>
    <n v="9"/>
    <x v="1"/>
  </r>
  <r>
    <n v="1090"/>
    <n v="2023"/>
    <x v="8"/>
    <s v="2023-06-07"/>
    <x v="0"/>
    <x v="1"/>
    <x v="8"/>
    <s v="High"/>
    <n v="6710"/>
    <n v="1385.94"/>
    <n v="0.20654843517138599"/>
    <n v="10"/>
    <x v="2"/>
  </r>
  <r>
    <n v="1091"/>
    <n v="2023"/>
    <x v="6"/>
    <s v="2023-10-04"/>
    <x v="3"/>
    <x v="2"/>
    <x v="13"/>
    <s v="High"/>
    <n v="1856"/>
    <n v="168.46"/>
    <n v="9.076508620689655E-2"/>
    <n v="8"/>
    <x v="0"/>
  </r>
  <r>
    <n v="1092"/>
    <n v="2023"/>
    <x v="3"/>
    <s v="2023-02-16"/>
    <x v="3"/>
    <x v="2"/>
    <x v="11"/>
    <s v="High"/>
    <n v="3352"/>
    <n v="789.69"/>
    <n v="0.23558770883054894"/>
    <n v="4"/>
    <x v="2"/>
  </r>
  <r>
    <n v="1093"/>
    <n v="2023"/>
    <x v="10"/>
    <s v="2023-04-03"/>
    <x v="2"/>
    <x v="1"/>
    <x v="10"/>
    <s v="High"/>
    <n v="9720"/>
    <n v="3320.79"/>
    <n v="0.34164506172839504"/>
    <n v="10"/>
    <x v="1"/>
  </r>
  <r>
    <n v="1094"/>
    <n v="2023"/>
    <x v="8"/>
    <s v="2023-06-14"/>
    <x v="2"/>
    <x v="2"/>
    <x v="11"/>
    <s v="High"/>
    <n v="974"/>
    <n v="260.33999999999997"/>
    <n v="0.26728952772073922"/>
    <n v="2"/>
    <x v="1"/>
  </r>
  <r>
    <n v="1095"/>
    <n v="2023"/>
    <x v="3"/>
    <s v="2023-02-15"/>
    <x v="0"/>
    <x v="2"/>
    <x v="13"/>
    <s v="High"/>
    <n v="2886"/>
    <n v="986.87"/>
    <n v="0.34195079695079694"/>
    <n v="6"/>
    <x v="1"/>
  </r>
  <r>
    <n v="1096"/>
    <n v="2023"/>
    <x v="7"/>
    <s v="2023-01-28"/>
    <x v="2"/>
    <x v="2"/>
    <x v="4"/>
    <s v="High"/>
    <n v="2080"/>
    <n v="591.22"/>
    <n v="0.28424038461538464"/>
    <n v="4"/>
    <x v="1"/>
  </r>
  <r>
    <n v="1097"/>
    <n v="2023"/>
    <x v="0"/>
    <s v="2023-05-17"/>
    <x v="0"/>
    <x v="0"/>
    <x v="12"/>
    <s v="High"/>
    <n v="1098"/>
    <n v="348.98"/>
    <n v="0.31783242258652095"/>
    <n v="9"/>
    <x v="2"/>
  </r>
  <r>
    <n v="1098"/>
    <n v="2023"/>
    <x v="2"/>
    <s v="2023-11-08"/>
    <x v="0"/>
    <x v="2"/>
    <x v="4"/>
    <s v="High"/>
    <n v="1872"/>
    <n v="156.66999999999999"/>
    <n v="8.3691239316239313E-2"/>
    <n v="4"/>
    <x v="0"/>
  </r>
  <r>
    <n v="1099"/>
    <n v="2023"/>
    <x v="1"/>
    <s v="2023-08-25"/>
    <x v="1"/>
    <x v="2"/>
    <x v="4"/>
    <s v="High"/>
    <n v="1320"/>
    <n v="209.62"/>
    <n v="0.15880303030303031"/>
    <n v="2"/>
    <x v="2"/>
  </r>
  <r>
    <n v="1100"/>
    <n v="2023"/>
    <x v="1"/>
    <s v="2023-08-30"/>
    <x v="2"/>
    <x v="0"/>
    <x v="9"/>
    <s v="Low"/>
    <n v="188"/>
    <n v="34.51"/>
    <n v="0.18356382978723404"/>
    <n v="4"/>
    <x v="1"/>
  </r>
  <r>
    <n v="1101"/>
    <n v="2023"/>
    <x v="0"/>
    <s v="2023-05-22"/>
    <x v="1"/>
    <x v="0"/>
    <x v="1"/>
    <s v="Medium"/>
    <n v="546"/>
    <n v="164.65"/>
    <n v="0.30155677655677654"/>
    <n v="7"/>
    <x v="2"/>
  </r>
  <r>
    <n v="1102"/>
    <n v="2023"/>
    <x v="1"/>
    <s v="2023-08-17"/>
    <x v="2"/>
    <x v="2"/>
    <x v="11"/>
    <s v="High"/>
    <n v="4527"/>
    <n v="1036.76"/>
    <n v="0.2290170090567705"/>
    <n v="9"/>
    <x v="2"/>
  </r>
  <r>
    <n v="1103"/>
    <n v="2023"/>
    <x v="10"/>
    <s v="2023-04-07"/>
    <x v="2"/>
    <x v="0"/>
    <x v="12"/>
    <s v="Medium"/>
    <n v="460"/>
    <n v="42.22"/>
    <n v="9.1782608695652176E-2"/>
    <n v="4"/>
    <x v="1"/>
  </r>
  <r>
    <n v="1104"/>
    <n v="2023"/>
    <x v="4"/>
    <s v="2023-12-06"/>
    <x v="2"/>
    <x v="0"/>
    <x v="12"/>
    <s v="Low"/>
    <n v="126"/>
    <n v="27.17"/>
    <n v="0.21563492063492065"/>
    <n v="3"/>
    <x v="1"/>
  </r>
  <r>
    <n v="1105"/>
    <n v="2023"/>
    <x v="3"/>
    <s v="2023-02-21"/>
    <x v="0"/>
    <x v="0"/>
    <x v="9"/>
    <s v="High"/>
    <n v="1746"/>
    <n v="207.64"/>
    <n v="0.11892325315005726"/>
    <n v="9"/>
    <x v="1"/>
  </r>
  <r>
    <n v="1106"/>
    <n v="2023"/>
    <x v="0"/>
    <s v="2023-05-16"/>
    <x v="0"/>
    <x v="0"/>
    <x v="5"/>
    <s v="Low"/>
    <n v="180"/>
    <n v="55.8"/>
    <n v="0.31"/>
    <n v="6"/>
    <x v="1"/>
  </r>
  <r>
    <n v="1107"/>
    <n v="2023"/>
    <x v="2"/>
    <s v="2023-11-17"/>
    <x v="2"/>
    <x v="0"/>
    <x v="1"/>
    <s v="High"/>
    <n v="1344"/>
    <n v="132.35"/>
    <n v="9.8474702380952378E-2"/>
    <n v="8"/>
    <x v="1"/>
  </r>
  <r>
    <n v="1108"/>
    <n v="2023"/>
    <x v="3"/>
    <s v="2023-02-16"/>
    <x v="1"/>
    <x v="0"/>
    <x v="9"/>
    <s v="High"/>
    <n v="1330"/>
    <n v="419.74"/>
    <n v="0.31559398496240604"/>
    <n v="7"/>
    <x v="0"/>
  </r>
  <r>
    <n v="1109"/>
    <n v="2023"/>
    <x v="7"/>
    <s v="2023-01-24"/>
    <x v="3"/>
    <x v="2"/>
    <x v="6"/>
    <s v="High"/>
    <n v="2700"/>
    <n v="489.26"/>
    <n v="0.1812074074074074"/>
    <n v="6"/>
    <x v="2"/>
  </r>
  <r>
    <n v="1110"/>
    <n v="2023"/>
    <x v="4"/>
    <s v="2023-12-16"/>
    <x v="2"/>
    <x v="1"/>
    <x v="2"/>
    <s v="High"/>
    <n v="1284"/>
    <n v="314.02"/>
    <n v="0.24456386292834889"/>
    <n v="3"/>
    <x v="0"/>
  </r>
  <r>
    <n v="1111"/>
    <n v="2023"/>
    <x v="11"/>
    <s v="2023-03-15"/>
    <x v="2"/>
    <x v="2"/>
    <x v="6"/>
    <s v="High"/>
    <n v="3212"/>
    <n v="655.52"/>
    <n v="0.20408468244084682"/>
    <n v="4"/>
    <x v="0"/>
  </r>
  <r>
    <n v="1112"/>
    <n v="2023"/>
    <x v="4"/>
    <s v="2023-12-13"/>
    <x v="2"/>
    <x v="0"/>
    <x v="0"/>
    <s v="High"/>
    <n v="1107"/>
    <n v="371.08"/>
    <n v="0.33521228545618786"/>
    <n v="9"/>
    <x v="1"/>
  </r>
  <r>
    <n v="1113"/>
    <n v="2023"/>
    <x v="0"/>
    <s v="2023-05-09"/>
    <x v="2"/>
    <x v="0"/>
    <x v="9"/>
    <s v="High"/>
    <n v="864"/>
    <n v="268.19"/>
    <n v="0.31040509259259258"/>
    <n v="8"/>
    <x v="0"/>
  </r>
  <r>
    <n v="1114"/>
    <n v="2023"/>
    <x v="5"/>
    <s v="2023-07-03"/>
    <x v="2"/>
    <x v="1"/>
    <x v="2"/>
    <s v="High"/>
    <n v="6850"/>
    <n v="588.58000000000004"/>
    <n v="8.5924087591240886E-2"/>
    <n v="10"/>
    <x v="0"/>
  </r>
  <r>
    <n v="1115"/>
    <n v="2023"/>
    <x v="6"/>
    <s v="2023-10-17"/>
    <x v="3"/>
    <x v="0"/>
    <x v="12"/>
    <s v="Low"/>
    <n v="68"/>
    <n v="16.59"/>
    <n v="0.24397058823529411"/>
    <n v="1"/>
    <x v="2"/>
  </r>
  <r>
    <n v="1116"/>
    <n v="2023"/>
    <x v="0"/>
    <s v="2023-05-09"/>
    <x v="1"/>
    <x v="2"/>
    <x v="6"/>
    <s v="High"/>
    <n v="2376"/>
    <n v="215.37"/>
    <n v="9.0643939393939402E-2"/>
    <n v="3"/>
    <x v="0"/>
  </r>
  <r>
    <n v="1117"/>
    <n v="2023"/>
    <x v="11"/>
    <s v="2023-03-09"/>
    <x v="3"/>
    <x v="2"/>
    <x v="4"/>
    <s v="High"/>
    <n v="968"/>
    <n v="123.35"/>
    <n v="0.12742768595041321"/>
    <n v="2"/>
    <x v="0"/>
  </r>
  <r>
    <n v="1118"/>
    <n v="2023"/>
    <x v="9"/>
    <s v="2023-09-14"/>
    <x v="3"/>
    <x v="1"/>
    <x v="7"/>
    <s v="High"/>
    <n v="2080"/>
    <n v="709.68"/>
    <n v="0.34119230769230768"/>
    <n v="5"/>
    <x v="0"/>
  </r>
  <r>
    <n v="1119"/>
    <n v="2023"/>
    <x v="3"/>
    <s v="2023-02-08"/>
    <x v="0"/>
    <x v="2"/>
    <x v="11"/>
    <s v="High"/>
    <n v="2526"/>
    <n v="662.04"/>
    <n v="0.26209026128266033"/>
    <n v="3"/>
    <x v="1"/>
  </r>
  <r>
    <n v="1120"/>
    <n v="2023"/>
    <x v="7"/>
    <s v="2023-01-08"/>
    <x v="0"/>
    <x v="2"/>
    <x v="11"/>
    <s v="High"/>
    <n v="1380"/>
    <n v="247.74"/>
    <n v="0.17952173913043479"/>
    <n v="5"/>
    <x v="1"/>
  </r>
  <r>
    <n v="1121"/>
    <n v="2023"/>
    <x v="5"/>
    <s v="2023-07-10"/>
    <x v="2"/>
    <x v="0"/>
    <x v="9"/>
    <s v="Low"/>
    <n v="32"/>
    <n v="7.91"/>
    <n v="0.2471875"/>
    <n v="2"/>
    <x v="0"/>
  </r>
  <r>
    <n v="1122"/>
    <n v="2023"/>
    <x v="3"/>
    <s v="2023-02-02"/>
    <x v="1"/>
    <x v="0"/>
    <x v="9"/>
    <s v="High"/>
    <n v="912"/>
    <n v="101.69"/>
    <n v="0.11150219298245614"/>
    <n v="8"/>
    <x v="0"/>
  </r>
  <r>
    <n v="1123"/>
    <n v="2023"/>
    <x v="11"/>
    <s v="2023-03-01"/>
    <x v="3"/>
    <x v="1"/>
    <x v="8"/>
    <s v="High"/>
    <n v="1120"/>
    <n v="207.13"/>
    <n v="0.1849375"/>
    <n v="2"/>
    <x v="1"/>
  </r>
  <r>
    <n v="1124"/>
    <n v="2023"/>
    <x v="4"/>
    <s v="2023-12-02"/>
    <x v="1"/>
    <x v="2"/>
    <x v="13"/>
    <s v="High"/>
    <n v="1560"/>
    <n v="520.33000000000004"/>
    <n v="0.3335448717948718"/>
    <n v="2"/>
    <x v="1"/>
  </r>
  <r>
    <n v="1125"/>
    <n v="2023"/>
    <x v="1"/>
    <s v="2023-08-16"/>
    <x v="3"/>
    <x v="2"/>
    <x v="4"/>
    <s v="High"/>
    <n v="4168"/>
    <n v="1437.34"/>
    <n v="0.34485124760076774"/>
    <n v="8"/>
    <x v="2"/>
  </r>
  <r>
    <n v="1126"/>
    <n v="2023"/>
    <x v="0"/>
    <s v="2023-05-22"/>
    <x v="0"/>
    <x v="2"/>
    <x v="11"/>
    <s v="High"/>
    <n v="2460"/>
    <n v="637.01"/>
    <n v="0.2589471544715447"/>
    <n v="4"/>
    <x v="1"/>
  </r>
  <r>
    <n v="1127"/>
    <n v="2023"/>
    <x v="8"/>
    <s v="2023-06-20"/>
    <x v="0"/>
    <x v="0"/>
    <x v="1"/>
    <s v="Medium"/>
    <n v="248"/>
    <n v="24.43"/>
    <n v="9.8508064516129035E-2"/>
    <n v="4"/>
    <x v="2"/>
  </r>
  <r>
    <n v="1128"/>
    <n v="2023"/>
    <x v="8"/>
    <s v="2023-06-18"/>
    <x v="1"/>
    <x v="0"/>
    <x v="5"/>
    <s v="Low"/>
    <n v="141"/>
    <n v="48.88"/>
    <n v="0.34666666666666668"/>
    <n v="3"/>
    <x v="2"/>
  </r>
  <r>
    <n v="1129"/>
    <n v="2023"/>
    <x v="4"/>
    <s v="2023-12-05"/>
    <x v="1"/>
    <x v="0"/>
    <x v="9"/>
    <s v="Low"/>
    <n v="101"/>
    <n v="29.62"/>
    <n v="0.29326732673267325"/>
    <n v="1"/>
    <x v="2"/>
  </r>
  <r>
    <n v="1130"/>
    <n v="2023"/>
    <x v="11"/>
    <s v="2023-03-31"/>
    <x v="3"/>
    <x v="1"/>
    <x v="7"/>
    <s v="High"/>
    <n v="935"/>
    <n v="181.07"/>
    <n v="0.19365775401069518"/>
    <n v="5"/>
    <x v="2"/>
  </r>
  <r>
    <n v="1131"/>
    <n v="2023"/>
    <x v="5"/>
    <s v="2023-07-05"/>
    <x v="2"/>
    <x v="1"/>
    <x v="8"/>
    <s v="High"/>
    <n v="2727"/>
    <n v="381.28"/>
    <n v="0.13981664833149982"/>
    <n v="9"/>
    <x v="1"/>
  </r>
  <r>
    <n v="1132"/>
    <n v="2023"/>
    <x v="2"/>
    <s v="2023-11-26"/>
    <x v="3"/>
    <x v="0"/>
    <x v="0"/>
    <s v="Low"/>
    <n v="112"/>
    <n v="21.85"/>
    <n v="0.19508928571428572"/>
    <n v="1"/>
    <x v="1"/>
  </r>
  <r>
    <n v="1133"/>
    <n v="2023"/>
    <x v="3"/>
    <s v="2023-02-11"/>
    <x v="2"/>
    <x v="1"/>
    <x v="10"/>
    <s v="High"/>
    <n v="2298"/>
    <n v="354.48"/>
    <n v="0.15425587467362925"/>
    <n v="6"/>
    <x v="2"/>
  </r>
  <r>
    <n v="1134"/>
    <n v="2023"/>
    <x v="2"/>
    <s v="2023-11-02"/>
    <x v="3"/>
    <x v="0"/>
    <x v="1"/>
    <s v="High"/>
    <n v="1251"/>
    <n v="304.58"/>
    <n v="0.24346922462030374"/>
    <n v="9"/>
    <x v="1"/>
  </r>
  <r>
    <n v="1135"/>
    <n v="2023"/>
    <x v="1"/>
    <s v="2023-08-20"/>
    <x v="1"/>
    <x v="1"/>
    <x v="8"/>
    <s v="High"/>
    <n v="3708"/>
    <n v="695.83"/>
    <n v="0.18765641855447682"/>
    <n v="4"/>
    <x v="1"/>
  </r>
  <r>
    <n v="1136"/>
    <n v="2023"/>
    <x v="8"/>
    <s v="2023-06-10"/>
    <x v="3"/>
    <x v="0"/>
    <x v="0"/>
    <s v="High"/>
    <n v="925"/>
    <n v="304.52"/>
    <n v="0.32921081081081077"/>
    <n v="5"/>
    <x v="1"/>
  </r>
  <r>
    <n v="1137"/>
    <n v="2023"/>
    <x v="1"/>
    <s v="2023-08-10"/>
    <x v="0"/>
    <x v="1"/>
    <x v="8"/>
    <s v="High"/>
    <n v="1686"/>
    <n v="162.18"/>
    <n v="9.619217081850534E-2"/>
    <n v="2"/>
    <x v="2"/>
  </r>
  <r>
    <n v="1138"/>
    <n v="2023"/>
    <x v="11"/>
    <s v="2023-03-04"/>
    <x v="3"/>
    <x v="0"/>
    <x v="1"/>
    <s v="High"/>
    <n v="826"/>
    <n v="259.68"/>
    <n v="0.31438256658595642"/>
    <n v="7"/>
    <x v="0"/>
  </r>
  <r>
    <n v="1139"/>
    <n v="2023"/>
    <x v="8"/>
    <s v="2023-06-09"/>
    <x v="3"/>
    <x v="0"/>
    <x v="0"/>
    <s v="High"/>
    <n v="834"/>
    <n v="114.62"/>
    <n v="0.13743405275779377"/>
    <n v="6"/>
    <x v="0"/>
  </r>
  <r>
    <n v="1140"/>
    <n v="2023"/>
    <x v="8"/>
    <s v="2023-06-29"/>
    <x v="1"/>
    <x v="0"/>
    <x v="12"/>
    <s v="High"/>
    <n v="729"/>
    <n v="171.32"/>
    <n v="0.2350068587105624"/>
    <n v="9"/>
    <x v="2"/>
  </r>
  <r>
    <n v="1141"/>
    <n v="2023"/>
    <x v="10"/>
    <s v="2023-04-03"/>
    <x v="3"/>
    <x v="2"/>
    <x v="4"/>
    <s v="High"/>
    <n v="2485"/>
    <n v="202.9"/>
    <n v="8.1649899396378275E-2"/>
    <n v="5"/>
    <x v="2"/>
  </r>
  <r>
    <n v="1142"/>
    <n v="2023"/>
    <x v="11"/>
    <s v="2023-03-14"/>
    <x v="2"/>
    <x v="1"/>
    <x v="7"/>
    <s v="Medium"/>
    <n v="267"/>
    <n v="48.48"/>
    <n v="0.18157303370786515"/>
    <n v="1"/>
    <x v="2"/>
  </r>
  <r>
    <n v="1143"/>
    <n v="2023"/>
    <x v="8"/>
    <s v="2023-06-09"/>
    <x v="1"/>
    <x v="2"/>
    <x v="11"/>
    <s v="High"/>
    <n v="1218"/>
    <n v="149.21"/>
    <n v="0.122504105090312"/>
    <n v="6"/>
    <x v="1"/>
  </r>
  <r>
    <n v="1144"/>
    <n v="2023"/>
    <x v="1"/>
    <s v="2023-08-15"/>
    <x v="0"/>
    <x v="0"/>
    <x v="0"/>
    <s v="High"/>
    <n v="861"/>
    <n v="165.17"/>
    <n v="0.19183507549361206"/>
    <n v="7"/>
    <x v="1"/>
  </r>
  <r>
    <n v="1145"/>
    <n v="2023"/>
    <x v="1"/>
    <s v="2023-08-09"/>
    <x v="0"/>
    <x v="1"/>
    <x v="7"/>
    <s v="High"/>
    <n v="1320"/>
    <n v="316.99"/>
    <n v="0.24014393939393941"/>
    <n v="2"/>
    <x v="1"/>
  </r>
  <r>
    <n v="1146"/>
    <n v="2023"/>
    <x v="5"/>
    <s v="2023-07-22"/>
    <x v="0"/>
    <x v="0"/>
    <x v="9"/>
    <s v="High"/>
    <n v="620"/>
    <n v="100.06"/>
    <n v="0.16138709677419355"/>
    <n v="10"/>
    <x v="2"/>
  </r>
  <r>
    <n v="1147"/>
    <n v="2023"/>
    <x v="8"/>
    <s v="2023-06-17"/>
    <x v="3"/>
    <x v="1"/>
    <x v="2"/>
    <s v="Low"/>
    <n v="190"/>
    <n v="24.21"/>
    <n v="0.12742105263157896"/>
    <n v="2"/>
    <x v="1"/>
  </r>
  <r>
    <n v="1148"/>
    <n v="2023"/>
    <x v="5"/>
    <s v="2023-07-23"/>
    <x v="3"/>
    <x v="2"/>
    <x v="6"/>
    <s v="Low"/>
    <n v="169"/>
    <n v="55.55"/>
    <n v="0.32869822485207101"/>
    <n v="1"/>
    <x v="2"/>
  </r>
  <r>
    <n v="1149"/>
    <n v="2023"/>
    <x v="2"/>
    <s v="2023-11-24"/>
    <x v="2"/>
    <x v="2"/>
    <x v="13"/>
    <s v="High"/>
    <n v="1869"/>
    <n v="160.04"/>
    <n v="8.5628678437667194E-2"/>
    <n v="7"/>
    <x v="0"/>
  </r>
  <r>
    <n v="1150"/>
    <n v="2023"/>
    <x v="5"/>
    <s v="2023-07-05"/>
    <x v="2"/>
    <x v="2"/>
    <x v="6"/>
    <s v="Medium"/>
    <n v="516"/>
    <n v="101.98"/>
    <n v="0.1976356589147287"/>
    <n v="2"/>
    <x v="0"/>
  </r>
  <r>
    <n v="1151"/>
    <n v="2023"/>
    <x v="8"/>
    <s v="2023-06-23"/>
    <x v="2"/>
    <x v="2"/>
    <x v="4"/>
    <s v="High"/>
    <n v="1288"/>
    <n v="280.57"/>
    <n v="0.21783385093167701"/>
    <n v="4"/>
    <x v="1"/>
  </r>
  <r>
    <n v="1152"/>
    <n v="2023"/>
    <x v="8"/>
    <s v="2023-06-29"/>
    <x v="1"/>
    <x v="1"/>
    <x v="7"/>
    <s v="High"/>
    <n v="1689"/>
    <n v="251.85"/>
    <n v="0.14911190053285966"/>
    <n v="3"/>
    <x v="1"/>
  </r>
  <r>
    <n v="1153"/>
    <n v="2023"/>
    <x v="3"/>
    <s v="2023-02-08"/>
    <x v="1"/>
    <x v="1"/>
    <x v="7"/>
    <s v="High"/>
    <n v="3273"/>
    <n v="933.35"/>
    <n v="0.28516651390161929"/>
    <n v="3"/>
    <x v="0"/>
  </r>
  <r>
    <n v="1154"/>
    <n v="2023"/>
    <x v="1"/>
    <s v="2023-08-14"/>
    <x v="3"/>
    <x v="2"/>
    <x v="11"/>
    <s v="High"/>
    <n v="1204"/>
    <n v="194.76"/>
    <n v="0.16176079734219267"/>
    <n v="2"/>
    <x v="2"/>
  </r>
  <r>
    <n v="1155"/>
    <n v="2023"/>
    <x v="3"/>
    <s v="2023-02-07"/>
    <x v="3"/>
    <x v="2"/>
    <x v="4"/>
    <s v="High"/>
    <n v="3060"/>
    <n v="291.8"/>
    <n v="9.5359477124183009E-2"/>
    <n v="5"/>
    <x v="0"/>
  </r>
  <r>
    <n v="1156"/>
    <n v="2023"/>
    <x v="2"/>
    <s v="2023-11-01"/>
    <x v="0"/>
    <x v="2"/>
    <x v="4"/>
    <s v="High"/>
    <n v="5607"/>
    <n v="1287.73"/>
    <n v="0.22966470483324417"/>
    <n v="9"/>
    <x v="0"/>
  </r>
  <r>
    <n v="1157"/>
    <n v="2023"/>
    <x v="2"/>
    <s v="2023-11-30"/>
    <x v="2"/>
    <x v="0"/>
    <x v="0"/>
    <s v="Medium"/>
    <n v="524"/>
    <n v="112.85"/>
    <n v="0.21536259541984731"/>
    <n v="4"/>
    <x v="0"/>
  </r>
  <r>
    <n v="1158"/>
    <n v="2023"/>
    <x v="3"/>
    <s v="2023-02-13"/>
    <x v="0"/>
    <x v="1"/>
    <x v="10"/>
    <s v="High"/>
    <n v="3897"/>
    <n v="1056.31"/>
    <n v="0.27105722350526046"/>
    <n v="9"/>
    <x v="1"/>
  </r>
  <r>
    <n v="1159"/>
    <n v="2023"/>
    <x v="0"/>
    <s v="2023-05-25"/>
    <x v="3"/>
    <x v="2"/>
    <x v="6"/>
    <s v="High"/>
    <n v="3472"/>
    <n v="838.24"/>
    <n v="0.24142857142857144"/>
    <n v="7"/>
    <x v="1"/>
  </r>
  <r>
    <n v="1160"/>
    <n v="2023"/>
    <x v="3"/>
    <s v="2023-02-18"/>
    <x v="0"/>
    <x v="0"/>
    <x v="9"/>
    <s v="High"/>
    <n v="666"/>
    <n v="183.42"/>
    <n v="0.27540540540540537"/>
    <n v="9"/>
    <x v="1"/>
  </r>
  <r>
    <n v="1161"/>
    <n v="2023"/>
    <x v="3"/>
    <s v="2023-02-11"/>
    <x v="1"/>
    <x v="0"/>
    <x v="1"/>
    <s v="High"/>
    <n v="890"/>
    <n v="303.74"/>
    <n v="0.3412808988764045"/>
    <n v="10"/>
    <x v="1"/>
  </r>
  <r>
    <n v="1162"/>
    <n v="2023"/>
    <x v="4"/>
    <s v="2023-12-29"/>
    <x v="1"/>
    <x v="0"/>
    <x v="12"/>
    <s v="Medium"/>
    <n v="212"/>
    <n v="53.79"/>
    <n v="0.25372641509433963"/>
    <n v="2"/>
    <x v="0"/>
  </r>
  <r>
    <n v="1163"/>
    <n v="2023"/>
    <x v="4"/>
    <s v="2023-12-10"/>
    <x v="0"/>
    <x v="2"/>
    <x v="6"/>
    <s v="High"/>
    <n v="3640"/>
    <n v="647.55999999999995"/>
    <n v="0.1779010989010989"/>
    <n v="7"/>
    <x v="0"/>
  </r>
  <r>
    <n v="1164"/>
    <n v="2023"/>
    <x v="10"/>
    <s v="2023-04-09"/>
    <x v="3"/>
    <x v="1"/>
    <x v="2"/>
    <s v="High"/>
    <n v="1444"/>
    <n v="230.84"/>
    <n v="0.15986149584487536"/>
    <n v="4"/>
    <x v="1"/>
  </r>
  <r>
    <n v="1165"/>
    <n v="2023"/>
    <x v="8"/>
    <s v="2023-06-22"/>
    <x v="0"/>
    <x v="1"/>
    <x v="7"/>
    <s v="High"/>
    <n v="3480"/>
    <n v="423.34"/>
    <n v="0.12164942528735631"/>
    <n v="10"/>
    <x v="0"/>
  </r>
  <r>
    <n v="1166"/>
    <n v="2023"/>
    <x v="1"/>
    <s v="2023-08-13"/>
    <x v="1"/>
    <x v="1"/>
    <x v="7"/>
    <s v="High"/>
    <n v="921"/>
    <n v="252.62"/>
    <n v="0.27428881650380021"/>
    <n v="1"/>
    <x v="0"/>
  </r>
  <r>
    <n v="1167"/>
    <n v="2023"/>
    <x v="6"/>
    <s v="2023-10-01"/>
    <x v="2"/>
    <x v="2"/>
    <x v="11"/>
    <s v="High"/>
    <n v="2520"/>
    <n v="451.88"/>
    <n v="0.17931746031746032"/>
    <n v="4"/>
    <x v="2"/>
  </r>
  <r>
    <n v="1168"/>
    <n v="2023"/>
    <x v="5"/>
    <s v="2023-07-15"/>
    <x v="2"/>
    <x v="0"/>
    <x v="12"/>
    <s v="Medium"/>
    <n v="459"/>
    <n v="137.96"/>
    <n v="0.30056644880174294"/>
    <n v="9"/>
    <x v="1"/>
  </r>
  <r>
    <n v="1169"/>
    <n v="2023"/>
    <x v="2"/>
    <s v="2023-11-25"/>
    <x v="3"/>
    <x v="0"/>
    <x v="5"/>
    <s v="Medium"/>
    <n v="288"/>
    <n v="78.36"/>
    <n v="0.27208333333333334"/>
    <n v="8"/>
    <x v="2"/>
  </r>
  <r>
    <n v="1170"/>
    <n v="2023"/>
    <x v="11"/>
    <s v="2023-03-24"/>
    <x v="3"/>
    <x v="0"/>
    <x v="0"/>
    <s v="Medium"/>
    <n v="235"/>
    <n v="71.53"/>
    <n v="0.30438297872340425"/>
    <n v="5"/>
    <x v="2"/>
  </r>
  <r>
    <n v="1171"/>
    <n v="2023"/>
    <x v="7"/>
    <s v="2023-01-14"/>
    <x v="2"/>
    <x v="1"/>
    <x v="2"/>
    <s v="High"/>
    <n v="1323"/>
    <n v="239.42"/>
    <n v="0.18096749811035526"/>
    <n v="7"/>
    <x v="1"/>
  </r>
  <r>
    <n v="1172"/>
    <n v="2023"/>
    <x v="7"/>
    <s v="2023-01-15"/>
    <x v="3"/>
    <x v="2"/>
    <x v="4"/>
    <s v="High"/>
    <n v="5286"/>
    <n v="901.41"/>
    <n v="0.170527809307605"/>
    <n v="6"/>
    <x v="2"/>
  </r>
  <r>
    <n v="1173"/>
    <n v="2023"/>
    <x v="1"/>
    <s v="2023-08-30"/>
    <x v="0"/>
    <x v="1"/>
    <x v="2"/>
    <s v="High"/>
    <n v="3120"/>
    <n v="254.02"/>
    <n v="8.1416666666666665E-2"/>
    <n v="3"/>
    <x v="1"/>
  </r>
  <r>
    <n v="1174"/>
    <n v="2023"/>
    <x v="11"/>
    <s v="2023-03-18"/>
    <x v="3"/>
    <x v="1"/>
    <x v="8"/>
    <s v="High"/>
    <n v="10440"/>
    <n v="3023.08"/>
    <n v="0.28956704980842912"/>
    <n v="9"/>
    <x v="2"/>
  </r>
  <r>
    <n v="1175"/>
    <n v="2023"/>
    <x v="0"/>
    <s v="2023-05-03"/>
    <x v="0"/>
    <x v="1"/>
    <x v="3"/>
    <s v="High"/>
    <n v="7112"/>
    <n v="2175.6"/>
    <n v="0.3059055118110236"/>
    <n v="7"/>
    <x v="2"/>
  </r>
  <r>
    <n v="1176"/>
    <n v="2023"/>
    <x v="11"/>
    <s v="2023-03-15"/>
    <x v="1"/>
    <x v="2"/>
    <x v="4"/>
    <s v="High"/>
    <n v="755"/>
    <n v="132.32"/>
    <n v="0.17525827814569536"/>
    <n v="5"/>
    <x v="0"/>
  </r>
  <r>
    <n v="1177"/>
    <n v="2023"/>
    <x v="4"/>
    <s v="2023-12-09"/>
    <x v="1"/>
    <x v="0"/>
    <x v="12"/>
    <s v="Low"/>
    <n v="54"/>
    <n v="18.22"/>
    <n v="0.33740740740740738"/>
    <n v="2"/>
    <x v="0"/>
  </r>
  <r>
    <n v="1178"/>
    <n v="2023"/>
    <x v="1"/>
    <s v="2023-08-29"/>
    <x v="0"/>
    <x v="0"/>
    <x v="1"/>
    <s v="Low"/>
    <n v="74"/>
    <n v="20.85"/>
    <n v="0.28175675675675677"/>
    <n v="1"/>
    <x v="1"/>
  </r>
  <r>
    <n v="1179"/>
    <n v="2023"/>
    <x v="4"/>
    <s v="2023-12-03"/>
    <x v="3"/>
    <x v="2"/>
    <x v="4"/>
    <s v="Medium"/>
    <n v="572"/>
    <n v="100.17"/>
    <n v="0.17512237762237762"/>
    <n v="2"/>
    <x v="2"/>
  </r>
  <r>
    <n v="1180"/>
    <n v="2023"/>
    <x v="9"/>
    <s v="2023-09-03"/>
    <x v="2"/>
    <x v="2"/>
    <x v="6"/>
    <s v="High"/>
    <n v="642"/>
    <n v="185.9"/>
    <n v="0.2895638629283489"/>
    <n v="3"/>
    <x v="0"/>
  </r>
  <r>
    <n v="1181"/>
    <n v="2023"/>
    <x v="7"/>
    <s v="2023-01-23"/>
    <x v="3"/>
    <x v="2"/>
    <x v="4"/>
    <s v="High"/>
    <n v="1892"/>
    <n v="414.64"/>
    <n v="0.21915433403805495"/>
    <n v="4"/>
    <x v="2"/>
  </r>
  <r>
    <n v="1182"/>
    <n v="2023"/>
    <x v="2"/>
    <s v="2023-11-28"/>
    <x v="3"/>
    <x v="0"/>
    <x v="12"/>
    <s v="Low"/>
    <n v="88"/>
    <n v="27.61"/>
    <n v="0.31374999999999997"/>
    <n v="4"/>
    <x v="2"/>
  </r>
  <r>
    <n v="1183"/>
    <n v="2023"/>
    <x v="1"/>
    <s v="2023-08-12"/>
    <x v="0"/>
    <x v="2"/>
    <x v="11"/>
    <s v="High"/>
    <n v="3815"/>
    <n v="1308.18"/>
    <n v="0.34290432503276541"/>
    <n v="7"/>
    <x v="1"/>
  </r>
  <r>
    <n v="1184"/>
    <n v="2023"/>
    <x v="0"/>
    <s v="2023-05-17"/>
    <x v="3"/>
    <x v="2"/>
    <x v="13"/>
    <s v="Medium"/>
    <n v="460"/>
    <n v="111.62"/>
    <n v="0.2426521739130435"/>
    <n v="2"/>
    <x v="0"/>
  </r>
  <r>
    <n v="1185"/>
    <n v="2023"/>
    <x v="3"/>
    <s v="2023-02-22"/>
    <x v="3"/>
    <x v="1"/>
    <x v="7"/>
    <s v="High"/>
    <n v="1502"/>
    <n v="244.46"/>
    <n v="0.16275632490013317"/>
    <n v="2"/>
    <x v="1"/>
  </r>
  <r>
    <n v="1186"/>
    <n v="2023"/>
    <x v="1"/>
    <s v="2023-08-16"/>
    <x v="1"/>
    <x v="0"/>
    <x v="12"/>
    <s v="High"/>
    <n v="1176"/>
    <n v="370.33"/>
    <n v="0.31490646258503402"/>
    <n v="6"/>
    <x v="0"/>
  </r>
  <r>
    <n v="1187"/>
    <n v="2023"/>
    <x v="7"/>
    <s v="2023-01-30"/>
    <x v="3"/>
    <x v="2"/>
    <x v="13"/>
    <s v="High"/>
    <n v="1044"/>
    <n v="309.33"/>
    <n v="0.29629310344827586"/>
    <n v="2"/>
    <x v="0"/>
  </r>
  <r>
    <n v="1188"/>
    <n v="2023"/>
    <x v="2"/>
    <s v="2023-11-08"/>
    <x v="0"/>
    <x v="0"/>
    <x v="5"/>
    <s v="Medium"/>
    <n v="216"/>
    <n v="31.04"/>
    <n v="0.14370370370370369"/>
    <n v="8"/>
    <x v="2"/>
  </r>
  <r>
    <n v="1189"/>
    <n v="2023"/>
    <x v="6"/>
    <s v="2023-10-18"/>
    <x v="3"/>
    <x v="0"/>
    <x v="9"/>
    <s v="Low"/>
    <n v="125"/>
    <n v="42.02"/>
    <n v="0.33616000000000001"/>
    <n v="1"/>
    <x v="1"/>
  </r>
  <r>
    <n v="1190"/>
    <n v="2023"/>
    <x v="11"/>
    <s v="2023-03-12"/>
    <x v="0"/>
    <x v="2"/>
    <x v="13"/>
    <s v="High"/>
    <n v="5013"/>
    <n v="1280.23"/>
    <n v="0.25538200678236583"/>
    <n v="9"/>
    <x v="0"/>
  </r>
  <r>
    <n v="1191"/>
    <n v="2023"/>
    <x v="10"/>
    <s v="2023-04-06"/>
    <x v="0"/>
    <x v="1"/>
    <x v="8"/>
    <s v="High"/>
    <n v="9120"/>
    <n v="1019.57"/>
    <n v="0.11179495614035088"/>
    <n v="8"/>
    <x v="0"/>
  </r>
  <r>
    <n v="1192"/>
    <n v="2023"/>
    <x v="0"/>
    <s v="2023-05-27"/>
    <x v="1"/>
    <x v="2"/>
    <x v="13"/>
    <s v="High"/>
    <n v="2200"/>
    <n v="682.58"/>
    <n v="0.31026363636363641"/>
    <n v="8"/>
    <x v="0"/>
  </r>
  <r>
    <n v="1193"/>
    <n v="2023"/>
    <x v="4"/>
    <s v="2023-12-16"/>
    <x v="2"/>
    <x v="2"/>
    <x v="6"/>
    <s v="High"/>
    <n v="5256"/>
    <n v="1200.99"/>
    <n v="0.22849885844748857"/>
    <n v="6"/>
    <x v="2"/>
  </r>
  <r>
    <n v="1194"/>
    <n v="2023"/>
    <x v="4"/>
    <s v="2023-12-30"/>
    <x v="1"/>
    <x v="2"/>
    <x v="11"/>
    <s v="High"/>
    <n v="2010"/>
    <n v="226.66"/>
    <n v="0.11276616915422885"/>
    <n v="3"/>
    <x v="0"/>
  </r>
  <r>
    <n v="1195"/>
    <n v="2023"/>
    <x v="7"/>
    <s v="2023-01-14"/>
    <x v="1"/>
    <x v="1"/>
    <x v="2"/>
    <s v="High"/>
    <n v="5010"/>
    <n v="576.34"/>
    <n v="0.11503792415169661"/>
    <n v="6"/>
    <x v="1"/>
  </r>
  <r>
    <n v="1196"/>
    <n v="2023"/>
    <x v="9"/>
    <s v="2023-09-03"/>
    <x v="3"/>
    <x v="1"/>
    <x v="8"/>
    <s v="High"/>
    <n v="8289"/>
    <n v="828.18"/>
    <n v="9.991313789359392E-2"/>
    <n v="9"/>
    <x v="1"/>
  </r>
  <r>
    <n v="1197"/>
    <n v="2023"/>
    <x v="4"/>
    <s v="2023-12-15"/>
    <x v="2"/>
    <x v="2"/>
    <x v="4"/>
    <s v="High"/>
    <n v="2529"/>
    <n v="639.19000000000005"/>
    <n v="0.25274416765519969"/>
    <n v="9"/>
    <x v="1"/>
  </r>
  <r>
    <n v="1198"/>
    <n v="2023"/>
    <x v="7"/>
    <s v="2023-01-29"/>
    <x v="2"/>
    <x v="1"/>
    <x v="2"/>
    <s v="High"/>
    <n v="2282"/>
    <n v="284.01"/>
    <n v="0.12445661700262926"/>
    <n v="2"/>
    <x v="0"/>
  </r>
  <r>
    <n v="1199"/>
    <n v="2023"/>
    <x v="0"/>
    <s v="2023-05-26"/>
    <x v="3"/>
    <x v="2"/>
    <x v="6"/>
    <s v="High"/>
    <n v="702"/>
    <n v="237.43"/>
    <n v="0.33821937321937323"/>
    <n v="2"/>
    <x v="0"/>
  </r>
  <r>
    <n v="1200"/>
    <n v="2023"/>
    <x v="6"/>
    <s v="2023-10-01"/>
    <x v="3"/>
    <x v="2"/>
    <x v="6"/>
    <s v="High"/>
    <n v="1612"/>
    <n v="386.54"/>
    <n v="0.2397890818858561"/>
    <n v="2"/>
    <x v="0"/>
  </r>
  <r>
    <n v="1201"/>
    <n v="2023"/>
    <x v="2"/>
    <s v="2023-11-16"/>
    <x v="1"/>
    <x v="0"/>
    <x v="5"/>
    <s v="Low"/>
    <n v="200"/>
    <n v="60.56"/>
    <n v="0.30280000000000001"/>
    <n v="10"/>
    <x v="0"/>
  </r>
  <r>
    <n v="1202"/>
    <n v="2023"/>
    <x v="6"/>
    <s v="2023-10-23"/>
    <x v="0"/>
    <x v="1"/>
    <x v="8"/>
    <s v="High"/>
    <n v="2555"/>
    <n v="630.79999999999995"/>
    <n v="0.24688845401174167"/>
    <n v="5"/>
    <x v="0"/>
  </r>
  <r>
    <n v="1203"/>
    <n v="2023"/>
    <x v="8"/>
    <s v="2023-06-04"/>
    <x v="3"/>
    <x v="1"/>
    <x v="10"/>
    <s v="High"/>
    <n v="4648"/>
    <n v="745.11"/>
    <n v="0.16030765920826162"/>
    <n v="8"/>
    <x v="0"/>
  </r>
  <r>
    <n v="1204"/>
    <n v="2023"/>
    <x v="1"/>
    <s v="2023-08-01"/>
    <x v="1"/>
    <x v="1"/>
    <x v="8"/>
    <s v="High"/>
    <n v="8248"/>
    <n v="2010.85"/>
    <n v="0.24379849660523761"/>
    <n v="8"/>
    <x v="1"/>
  </r>
  <r>
    <n v="1205"/>
    <n v="2023"/>
    <x v="11"/>
    <s v="2023-03-08"/>
    <x v="3"/>
    <x v="2"/>
    <x v="11"/>
    <s v="High"/>
    <n v="4350"/>
    <n v="722.8"/>
    <n v="0.16616091954022988"/>
    <n v="6"/>
    <x v="1"/>
  </r>
  <r>
    <n v="1206"/>
    <n v="2023"/>
    <x v="0"/>
    <s v="2023-05-07"/>
    <x v="3"/>
    <x v="2"/>
    <x v="4"/>
    <s v="High"/>
    <n v="603"/>
    <n v="202.16"/>
    <n v="0.33525704809286899"/>
    <n v="3"/>
    <x v="1"/>
  </r>
  <r>
    <n v="1207"/>
    <n v="2023"/>
    <x v="8"/>
    <s v="2023-06-17"/>
    <x v="1"/>
    <x v="0"/>
    <x v="12"/>
    <s v="Medium"/>
    <n v="500"/>
    <n v="107.27"/>
    <n v="0.21453999999999998"/>
    <n v="10"/>
    <x v="2"/>
  </r>
  <r>
    <n v="1208"/>
    <n v="2023"/>
    <x v="9"/>
    <s v="2023-09-12"/>
    <x v="2"/>
    <x v="0"/>
    <x v="12"/>
    <s v="Low"/>
    <n v="139"/>
    <n v="28.28"/>
    <n v="0.20345323741007196"/>
    <n v="1"/>
    <x v="1"/>
  </r>
  <r>
    <n v="1209"/>
    <n v="2023"/>
    <x v="7"/>
    <s v="2023-01-26"/>
    <x v="3"/>
    <x v="1"/>
    <x v="2"/>
    <s v="High"/>
    <n v="5465"/>
    <n v="1429.54"/>
    <n v="0.26158096980786827"/>
    <n v="5"/>
    <x v="2"/>
  </r>
  <r>
    <n v="1210"/>
    <n v="2023"/>
    <x v="11"/>
    <s v="2023-03-10"/>
    <x v="0"/>
    <x v="2"/>
    <x v="4"/>
    <s v="High"/>
    <n v="2810"/>
    <n v="259.13"/>
    <n v="9.2217081850533802E-2"/>
    <n v="5"/>
    <x v="1"/>
  </r>
  <r>
    <n v="1211"/>
    <n v="2023"/>
    <x v="6"/>
    <s v="2023-10-11"/>
    <x v="1"/>
    <x v="1"/>
    <x v="7"/>
    <s v="High"/>
    <n v="1150"/>
    <n v="231.84"/>
    <n v="0.2016"/>
    <n v="5"/>
    <x v="1"/>
  </r>
  <r>
    <n v="1212"/>
    <n v="2023"/>
    <x v="3"/>
    <s v="2023-02-19"/>
    <x v="0"/>
    <x v="0"/>
    <x v="9"/>
    <s v="High"/>
    <n v="1064"/>
    <n v="354.86"/>
    <n v="0.33351503759398499"/>
    <n v="7"/>
    <x v="2"/>
  </r>
  <r>
    <n v="1213"/>
    <n v="2023"/>
    <x v="7"/>
    <s v="2023-01-21"/>
    <x v="2"/>
    <x v="1"/>
    <x v="2"/>
    <s v="Low"/>
    <n v="159"/>
    <n v="27.02"/>
    <n v="0.16993710691823899"/>
    <n v="1"/>
    <x v="0"/>
  </r>
  <r>
    <n v="1214"/>
    <n v="2023"/>
    <x v="9"/>
    <s v="2023-09-21"/>
    <x v="1"/>
    <x v="2"/>
    <x v="13"/>
    <s v="High"/>
    <n v="2331"/>
    <n v="288.75"/>
    <n v="0.12387387387387387"/>
    <n v="3"/>
    <x v="0"/>
  </r>
  <r>
    <n v="1215"/>
    <n v="2023"/>
    <x v="9"/>
    <s v="2023-09-18"/>
    <x v="3"/>
    <x v="0"/>
    <x v="9"/>
    <s v="High"/>
    <n v="1386"/>
    <n v="223.07"/>
    <n v="0.16094516594516595"/>
    <n v="9"/>
    <x v="0"/>
  </r>
  <r>
    <n v="1216"/>
    <n v="2023"/>
    <x v="3"/>
    <s v="2023-02-26"/>
    <x v="3"/>
    <x v="1"/>
    <x v="3"/>
    <s v="High"/>
    <n v="4970"/>
    <n v="1242"/>
    <n v="0.24989939637826961"/>
    <n v="7"/>
    <x v="0"/>
  </r>
  <r>
    <n v="1217"/>
    <n v="2023"/>
    <x v="6"/>
    <s v="2023-10-24"/>
    <x v="3"/>
    <x v="0"/>
    <x v="12"/>
    <s v="Medium"/>
    <n v="230"/>
    <n v="54.64"/>
    <n v="0.23756521739130435"/>
    <n v="10"/>
    <x v="0"/>
  </r>
  <r>
    <n v="1218"/>
    <n v="2023"/>
    <x v="4"/>
    <s v="2023-12-15"/>
    <x v="2"/>
    <x v="1"/>
    <x v="7"/>
    <s v="Medium"/>
    <n v="576"/>
    <n v="63.17"/>
    <n v="0.10967013888888889"/>
    <n v="4"/>
    <x v="2"/>
  </r>
  <r>
    <n v="1219"/>
    <n v="2023"/>
    <x v="11"/>
    <s v="2023-03-19"/>
    <x v="3"/>
    <x v="1"/>
    <x v="10"/>
    <s v="High"/>
    <n v="3479"/>
    <n v="1006.27"/>
    <n v="0.28924116125323368"/>
    <n v="7"/>
    <x v="1"/>
  </r>
  <r>
    <n v="1220"/>
    <n v="2023"/>
    <x v="10"/>
    <s v="2023-04-17"/>
    <x v="1"/>
    <x v="2"/>
    <x v="4"/>
    <s v="High"/>
    <n v="7452"/>
    <n v="1653.44"/>
    <n v="0.2218786902844874"/>
    <n v="9"/>
    <x v="0"/>
  </r>
  <r>
    <n v="1221"/>
    <n v="2023"/>
    <x v="8"/>
    <s v="2023-06-25"/>
    <x v="2"/>
    <x v="2"/>
    <x v="6"/>
    <s v="High"/>
    <n v="7578"/>
    <n v="1999.09"/>
    <n v="0.26380179466877801"/>
    <n v="9"/>
    <x v="0"/>
  </r>
  <r>
    <n v="1222"/>
    <n v="2023"/>
    <x v="0"/>
    <s v="2023-05-07"/>
    <x v="2"/>
    <x v="0"/>
    <x v="9"/>
    <s v="Medium"/>
    <n v="430"/>
    <n v="123.93"/>
    <n v="0.2882093023255814"/>
    <n v="5"/>
    <x v="2"/>
  </r>
  <r>
    <n v="1223"/>
    <n v="2023"/>
    <x v="9"/>
    <s v="2023-09-03"/>
    <x v="2"/>
    <x v="0"/>
    <x v="5"/>
    <s v="Medium"/>
    <n v="246"/>
    <n v="57.77"/>
    <n v="0.23483739837398376"/>
    <n v="6"/>
    <x v="1"/>
  </r>
  <r>
    <n v="1224"/>
    <n v="2023"/>
    <x v="11"/>
    <s v="2023-03-16"/>
    <x v="2"/>
    <x v="0"/>
    <x v="12"/>
    <s v="High"/>
    <n v="960"/>
    <n v="97.28"/>
    <n v="0.10133333333333333"/>
    <n v="5"/>
    <x v="1"/>
  </r>
  <r>
    <n v="1225"/>
    <n v="2023"/>
    <x v="10"/>
    <s v="2023-04-14"/>
    <x v="2"/>
    <x v="2"/>
    <x v="11"/>
    <s v="High"/>
    <n v="6525"/>
    <n v="1000.53"/>
    <n v="0.15333793103448276"/>
    <n v="9"/>
    <x v="2"/>
  </r>
  <r>
    <n v="1226"/>
    <n v="2023"/>
    <x v="7"/>
    <s v="2023-01-26"/>
    <x v="1"/>
    <x v="1"/>
    <x v="7"/>
    <s v="High"/>
    <n v="4878"/>
    <n v="459.37"/>
    <n v="9.4171791717917175E-2"/>
    <n v="9"/>
    <x v="2"/>
  </r>
  <r>
    <n v="1227"/>
    <n v="2023"/>
    <x v="4"/>
    <s v="2023-12-15"/>
    <x v="2"/>
    <x v="2"/>
    <x v="11"/>
    <s v="High"/>
    <n v="2139"/>
    <n v="406.12"/>
    <n v="0.18986442262739597"/>
    <n v="3"/>
    <x v="2"/>
  </r>
  <r>
    <n v="1228"/>
    <n v="2023"/>
    <x v="8"/>
    <s v="2023-06-14"/>
    <x v="1"/>
    <x v="2"/>
    <x v="13"/>
    <s v="High"/>
    <n v="1205"/>
    <n v="283.19"/>
    <n v="0.23501244813278008"/>
    <n v="5"/>
    <x v="1"/>
  </r>
  <r>
    <n v="1229"/>
    <n v="2023"/>
    <x v="10"/>
    <s v="2023-04-01"/>
    <x v="1"/>
    <x v="0"/>
    <x v="0"/>
    <s v="Low"/>
    <n v="57"/>
    <n v="18.97"/>
    <n v="0.33280701754385961"/>
    <n v="1"/>
    <x v="1"/>
  </r>
  <r>
    <n v="1230"/>
    <n v="2023"/>
    <x v="6"/>
    <s v="2023-10-18"/>
    <x v="0"/>
    <x v="2"/>
    <x v="4"/>
    <s v="High"/>
    <n v="4930"/>
    <n v="999.18"/>
    <n v="0.2026734279918864"/>
    <n v="10"/>
    <x v="1"/>
  </r>
  <r>
    <n v="1231"/>
    <n v="2023"/>
    <x v="9"/>
    <s v="2023-09-16"/>
    <x v="2"/>
    <x v="0"/>
    <x v="1"/>
    <s v="Medium"/>
    <n v="304"/>
    <n v="51.46"/>
    <n v="0.16927631578947369"/>
    <n v="8"/>
    <x v="2"/>
  </r>
  <r>
    <n v="1232"/>
    <n v="2023"/>
    <x v="10"/>
    <s v="2023-04-06"/>
    <x v="3"/>
    <x v="0"/>
    <x v="12"/>
    <s v="Low"/>
    <n v="155"/>
    <n v="40.619999999999997"/>
    <n v="0.26206451612903225"/>
    <n v="1"/>
    <x v="0"/>
  </r>
  <r>
    <n v="1233"/>
    <n v="2023"/>
    <x v="9"/>
    <s v="2023-09-21"/>
    <x v="2"/>
    <x v="1"/>
    <x v="2"/>
    <s v="High"/>
    <n v="1542"/>
    <n v="163.07"/>
    <n v="0.10575226977950714"/>
    <n v="6"/>
    <x v="1"/>
  </r>
  <r>
    <n v="1234"/>
    <n v="2023"/>
    <x v="7"/>
    <s v="2023-01-04"/>
    <x v="3"/>
    <x v="1"/>
    <x v="10"/>
    <s v="High"/>
    <n v="4325"/>
    <n v="1226.2"/>
    <n v="0.28351445086705201"/>
    <n v="5"/>
    <x v="2"/>
  </r>
  <r>
    <n v="1235"/>
    <n v="2023"/>
    <x v="4"/>
    <s v="2023-12-01"/>
    <x v="0"/>
    <x v="2"/>
    <x v="11"/>
    <s v="High"/>
    <n v="1278"/>
    <n v="143.03"/>
    <n v="0.11191705790297339"/>
    <n v="6"/>
    <x v="1"/>
  </r>
  <r>
    <n v="1236"/>
    <n v="2023"/>
    <x v="9"/>
    <s v="2023-09-15"/>
    <x v="2"/>
    <x v="2"/>
    <x v="6"/>
    <s v="High"/>
    <n v="4020"/>
    <n v="720.53"/>
    <n v="0.1792363184079602"/>
    <n v="5"/>
    <x v="0"/>
  </r>
  <r>
    <n v="1237"/>
    <n v="2023"/>
    <x v="11"/>
    <s v="2023-03-20"/>
    <x v="1"/>
    <x v="1"/>
    <x v="2"/>
    <s v="High"/>
    <n v="6760"/>
    <n v="1543.26"/>
    <n v="0.22829289940828401"/>
    <n v="8"/>
    <x v="1"/>
  </r>
  <r>
    <n v="1238"/>
    <n v="2023"/>
    <x v="2"/>
    <s v="2023-11-02"/>
    <x v="1"/>
    <x v="2"/>
    <x v="6"/>
    <s v="High"/>
    <n v="1214"/>
    <n v="327.8"/>
    <n v="0.27001647446457994"/>
    <n v="2"/>
    <x v="0"/>
  </r>
  <r>
    <n v="1239"/>
    <n v="2023"/>
    <x v="6"/>
    <s v="2023-10-08"/>
    <x v="0"/>
    <x v="1"/>
    <x v="7"/>
    <s v="High"/>
    <n v="4446"/>
    <n v="535.57000000000005"/>
    <n v="0.12046108861898337"/>
    <n v="9"/>
    <x v="2"/>
  </r>
  <r>
    <n v="1240"/>
    <n v="2023"/>
    <x v="10"/>
    <s v="2023-04-16"/>
    <x v="0"/>
    <x v="2"/>
    <x v="13"/>
    <s v="High"/>
    <n v="2430"/>
    <n v="486.68"/>
    <n v="0.20027983539094651"/>
    <n v="10"/>
    <x v="0"/>
  </r>
  <r>
    <n v="1241"/>
    <n v="2023"/>
    <x v="1"/>
    <s v="2023-08-01"/>
    <x v="1"/>
    <x v="1"/>
    <x v="10"/>
    <s v="High"/>
    <n v="1584"/>
    <n v="414.45"/>
    <n v="0.26164772727272728"/>
    <n v="8"/>
    <x v="0"/>
  </r>
  <r>
    <n v="1242"/>
    <n v="2023"/>
    <x v="7"/>
    <s v="2023-01-02"/>
    <x v="2"/>
    <x v="2"/>
    <x v="4"/>
    <s v="High"/>
    <n v="784"/>
    <n v="135.65"/>
    <n v="0.17302295918367347"/>
    <n v="4"/>
    <x v="1"/>
  </r>
  <r>
    <n v="1243"/>
    <n v="2023"/>
    <x v="1"/>
    <s v="2023-08-30"/>
    <x v="0"/>
    <x v="1"/>
    <x v="7"/>
    <s v="High"/>
    <n v="667"/>
    <n v="191.84"/>
    <n v="0.28761619190404797"/>
    <n v="1"/>
    <x v="2"/>
  </r>
  <r>
    <n v="1244"/>
    <n v="2023"/>
    <x v="1"/>
    <s v="2023-08-18"/>
    <x v="3"/>
    <x v="0"/>
    <x v="12"/>
    <s v="High"/>
    <n v="1288"/>
    <n v="438.33"/>
    <n v="0.34031832298136644"/>
    <n v="7"/>
    <x v="1"/>
  </r>
  <r>
    <n v="1245"/>
    <n v="2023"/>
    <x v="10"/>
    <s v="2023-04-02"/>
    <x v="3"/>
    <x v="0"/>
    <x v="5"/>
    <s v="Medium"/>
    <n v="378"/>
    <n v="104.53"/>
    <n v="0.27653439153439152"/>
    <n v="9"/>
    <x v="2"/>
  </r>
  <r>
    <n v="1246"/>
    <n v="2023"/>
    <x v="1"/>
    <s v="2023-08-26"/>
    <x v="0"/>
    <x v="1"/>
    <x v="8"/>
    <s v="High"/>
    <n v="8532"/>
    <n v="2579.29"/>
    <n v="0.30230778246601031"/>
    <n v="9"/>
    <x v="1"/>
  </r>
  <r>
    <n v="1247"/>
    <n v="2023"/>
    <x v="0"/>
    <s v="2023-05-22"/>
    <x v="3"/>
    <x v="1"/>
    <x v="10"/>
    <s v="High"/>
    <n v="1244"/>
    <n v="240.33"/>
    <n v="0.19319131832797429"/>
    <n v="4"/>
    <x v="2"/>
  </r>
  <r>
    <n v="1248"/>
    <n v="2023"/>
    <x v="3"/>
    <s v="2023-02-21"/>
    <x v="1"/>
    <x v="1"/>
    <x v="2"/>
    <s v="High"/>
    <n v="1480"/>
    <n v="386.94"/>
    <n v="0.26144594594594595"/>
    <n v="10"/>
    <x v="2"/>
  </r>
  <r>
    <n v="1249"/>
    <n v="2023"/>
    <x v="1"/>
    <s v="2023-08-13"/>
    <x v="0"/>
    <x v="1"/>
    <x v="2"/>
    <s v="High"/>
    <n v="4740"/>
    <n v="558.54999999999995"/>
    <n v="0.11783755274261602"/>
    <n v="4"/>
    <x v="1"/>
  </r>
  <r>
    <n v="1250"/>
    <n v="2023"/>
    <x v="2"/>
    <s v="2023-11-03"/>
    <x v="3"/>
    <x v="2"/>
    <x v="6"/>
    <s v="High"/>
    <n v="2754"/>
    <n v="953.26"/>
    <n v="0.34613652868554828"/>
    <n v="6"/>
    <x v="0"/>
  </r>
  <r>
    <n v="1251"/>
    <n v="2023"/>
    <x v="0"/>
    <s v="2023-05-21"/>
    <x v="2"/>
    <x v="0"/>
    <x v="5"/>
    <s v="Low"/>
    <n v="183"/>
    <n v="35.75"/>
    <n v="0.1953551912568306"/>
    <n v="1"/>
    <x v="1"/>
  </r>
  <r>
    <n v="1252"/>
    <n v="2023"/>
    <x v="4"/>
    <s v="2023-12-10"/>
    <x v="3"/>
    <x v="2"/>
    <x v="4"/>
    <s v="High"/>
    <n v="3332"/>
    <n v="641.1"/>
    <n v="0.19240696278511404"/>
    <n v="7"/>
    <x v="0"/>
  </r>
  <r>
    <n v="1253"/>
    <n v="2023"/>
    <x v="6"/>
    <s v="2023-10-03"/>
    <x v="2"/>
    <x v="1"/>
    <x v="3"/>
    <s v="High"/>
    <n v="4584"/>
    <n v="1428.08"/>
    <n v="0.31153577661431064"/>
    <n v="8"/>
    <x v="2"/>
  </r>
  <r>
    <n v="1254"/>
    <n v="2023"/>
    <x v="5"/>
    <s v="2023-07-31"/>
    <x v="0"/>
    <x v="1"/>
    <x v="10"/>
    <s v="High"/>
    <n v="8155"/>
    <n v="1187.1400000000001"/>
    <n v="0.14557204169221338"/>
    <n v="7"/>
    <x v="0"/>
  </r>
  <r>
    <n v="1255"/>
    <n v="2023"/>
    <x v="5"/>
    <s v="2023-07-09"/>
    <x v="0"/>
    <x v="1"/>
    <x v="3"/>
    <s v="High"/>
    <n v="2352"/>
    <n v="220.89"/>
    <n v="9.3915816326530607E-2"/>
    <n v="2"/>
    <x v="1"/>
  </r>
  <r>
    <n v="1256"/>
    <n v="2023"/>
    <x v="6"/>
    <s v="2023-10-28"/>
    <x v="0"/>
    <x v="2"/>
    <x v="4"/>
    <s v="High"/>
    <n v="5760"/>
    <n v="1813.01"/>
    <n v="0.31475868055555556"/>
    <n v="9"/>
    <x v="2"/>
  </r>
  <r>
    <n v="1257"/>
    <n v="2023"/>
    <x v="10"/>
    <s v="2023-04-08"/>
    <x v="0"/>
    <x v="2"/>
    <x v="11"/>
    <s v="High"/>
    <n v="796"/>
    <n v="193.58"/>
    <n v="0.24319095477386937"/>
    <n v="2"/>
    <x v="2"/>
  </r>
  <r>
    <n v="1258"/>
    <n v="2023"/>
    <x v="8"/>
    <s v="2023-06-14"/>
    <x v="1"/>
    <x v="1"/>
    <x v="10"/>
    <s v="High"/>
    <n v="4295"/>
    <n v="1095.8900000000001"/>
    <n v="0.25515483119906873"/>
    <n v="5"/>
    <x v="0"/>
  </r>
  <r>
    <n v="1259"/>
    <n v="2023"/>
    <x v="9"/>
    <s v="2023-09-12"/>
    <x v="3"/>
    <x v="2"/>
    <x v="11"/>
    <s v="High"/>
    <n v="7112"/>
    <n v="2031.47"/>
    <n v="0.28563976377952754"/>
    <n v="8"/>
    <x v="0"/>
  </r>
  <r>
    <n v="1260"/>
    <n v="2023"/>
    <x v="5"/>
    <s v="2023-07-31"/>
    <x v="3"/>
    <x v="2"/>
    <x v="6"/>
    <s v="Medium"/>
    <n v="299"/>
    <n v="44.97"/>
    <n v="0.15040133779264214"/>
    <n v="1"/>
    <x v="1"/>
  </r>
  <r>
    <n v="1261"/>
    <n v="2023"/>
    <x v="11"/>
    <s v="2023-03-20"/>
    <x v="2"/>
    <x v="0"/>
    <x v="1"/>
    <s v="Medium"/>
    <n v="428"/>
    <n v="100.08"/>
    <n v="0.23383177570093458"/>
    <n v="4"/>
    <x v="1"/>
  </r>
  <r>
    <n v="1262"/>
    <n v="2023"/>
    <x v="9"/>
    <s v="2023-09-08"/>
    <x v="3"/>
    <x v="1"/>
    <x v="10"/>
    <s v="High"/>
    <n v="8184"/>
    <n v="2411.36"/>
    <n v="0.29464320625610951"/>
    <n v="8"/>
    <x v="1"/>
  </r>
  <r>
    <n v="1263"/>
    <n v="2023"/>
    <x v="6"/>
    <s v="2023-10-05"/>
    <x v="2"/>
    <x v="1"/>
    <x v="2"/>
    <s v="High"/>
    <n v="1153"/>
    <n v="386.49"/>
    <n v="0.33520381613183003"/>
    <n v="1"/>
    <x v="2"/>
  </r>
  <r>
    <n v="1264"/>
    <n v="2023"/>
    <x v="11"/>
    <s v="2023-03-12"/>
    <x v="0"/>
    <x v="0"/>
    <x v="0"/>
    <s v="Low"/>
    <n v="192"/>
    <n v="15.83"/>
    <n v="8.2447916666666662E-2"/>
    <n v="4"/>
    <x v="1"/>
  </r>
  <r>
    <n v="1265"/>
    <n v="2023"/>
    <x v="2"/>
    <s v="2023-11-13"/>
    <x v="3"/>
    <x v="0"/>
    <x v="12"/>
    <s v="High"/>
    <n v="1340"/>
    <n v="112.89"/>
    <n v="8.4246268656716417E-2"/>
    <n v="10"/>
    <x v="2"/>
  </r>
  <r>
    <n v="1266"/>
    <n v="2023"/>
    <x v="7"/>
    <s v="2023-01-09"/>
    <x v="2"/>
    <x v="0"/>
    <x v="1"/>
    <s v="High"/>
    <n v="747"/>
    <n v="63.22"/>
    <n v="8.4631860776439083E-2"/>
    <n v="9"/>
    <x v="2"/>
  </r>
  <r>
    <n v="1267"/>
    <n v="2023"/>
    <x v="3"/>
    <s v="2023-02-19"/>
    <x v="1"/>
    <x v="0"/>
    <x v="12"/>
    <s v="Medium"/>
    <n v="531"/>
    <n v="131.34"/>
    <n v="0.24734463276836158"/>
    <n v="9"/>
    <x v="2"/>
  </r>
  <r>
    <n v="1268"/>
    <n v="2023"/>
    <x v="3"/>
    <s v="2023-02-10"/>
    <x v="3"/>
    <x v="2"/>
    <x v="11"/>
    <s v="High"/>
    <n v="3720"/>
    <n v="541.88"/>
    <n v="0.14566666666666667"/>
    <n v="6"/>
    <x v="1"/>
  </r>
  <r>
    <n v="1269"/>
    <n v="2023"/>
    <x v="3"/>
    <s v="2023-02-11"/>
    <x v="3"/>
    <x v="0"/>
    <x v="5"/>
    <s v="Low"/>
    <n v="107"/>
    <n v="19.46"/>
    <n v="0.18186915887850469"/>
    <n v="1"/>
    <x v="0"/>
  </r>
  <r>
    <n v="1270"/>
    <n v="2023"/>
    <x v="11"/>
    <s v="2023-03-29"/>
    <x v="0"/>
    <x v="2"/>
    <x v="4"/>
    <s v="High"/>
    <n v="1188"/>
    <n v="346.64"/>
    <n v="0.29178451178451176"/>
    <n v="2"/>
    <x v="0"/>
  </r>
  <r>
    <n v="1271"/>
    <n v="2023"/>
    <x v="10"/>
    <s v="2023-04-19"/>
    <x v="0"/>
    <x v="0"/>
    <x v="0"/>
    <s v="Medium"/>
    <n v="210"/>
    <n v="69.2"/>
    <n v="0.32952380952380955"/>
    <n v="10"/>
    <x v="2"/>
  </r>
  <r>
    <n v="1272"/>
    <n v="2023"/>
    <x v="8"/>
    <s v="2023-06-11"/>
    <x v="0"/>
    <x v="0"/>
    <x v="9"/>
    <s v="Low"/>
    <n v="46"/>
    <n v="13.02"/>
    <n v="0.28304347826086956"/>
    <n v="1"/>
    <x v="2"/>
  </r>
  <r>
    <n v="1273"/>
    <n v="2023"/>
    <x v="11"/>
    <s v="2023-03-25"/>
    <x v="0"/>
    <x v="0"/>
    <x v="12"/>
    <s v="High"/>
    <n v="1090"/>
    <n v="286.45"/>
    <n v="0.26279816513761467"/>
    <n v="10"/>
    <x v="1"/>
  </r>
  <r>
    <n v="1274"/>
    <n v="2023"/>
    <x v="11"/>
    <s v="2023-03-13"/>
    <x v="2"/>
    <x v="0"/>
    <x v="9"/>
    <s v="Low"/>
    <n v="46"/>
    <n v="4.8899999999999997"/>
    <n v="0.10630434782608696"/>
    <n v="2"/>
    <x v="0"/>
  </r>
  <r>
    <n v="1275"/>
    <n v="2023"/>
    <x v="2"/>
    <s v="2023-11-11"/>
    <x v="3"/>
    <x v="1"/>
    <x v="8"/>
    <s v="High"/>
    <n v="8920"/>
    <n v="2240.8200000000002"/>
    <n v="0.25121300448430495"/>
    <n v="10"/>
    <x v="0"/>
  </r>
  <r>
    <n v="1276"/>
    <n v="2023"/>
    <x v="6"/>
    <s v="2023-10-11"/>
    <x v="1"/>
    <x v="2"/>
    <x v="13"/>
    <s v="High"/>
    <n v="2380"/>
    <n v="566.88"/>
    <n v="0.23818487394957982"/>
    <n v="7"/>
    <x v="1"/>
  </r>
  <r>
    <n v="1277"/>
    <n v="2023"/>
    <x v="3"/>
    <s v="2023-02-07"/>
    <x v="3"/>
    <x v="2"/>
    <x v="4"/>
    <s v="High"/>
    <n v="614"/>
    <n v="167.1"/>
    <n v="0.27214983713355045"/>
    <n v="2"/>
    <x v="2"/>
  </r>
  <r>
    <n v="1278"/>
    <n v="2023"/>
    <x v="5"/>
    <s v="2023-07-04"/>
    <x v="2"/>
    <x v="0"/>
    <x v="5"/>
    <s v="Low"/>
    <n v="176"/>
    <n v="35.21"/>
    <n v="0.2000568181818182"/>
    <n v="2"/>
    <x v="1"/>
  </r>
  <r>
    <n v="1279"/>
    <n v="2023"/>
    <x v="10"/>
    <s v="2023-04-06"/>
    <x v="1"/>
    <x v="2"/>
    <x v="4"/>
    <s v="High"/>
    <n v="5040"/>
    <n v="1100.53"/>
    <n v="0.21835912698412699"/>
    <n v="7"/>
    <x v="2"/>
  </r>
  <r>
    <n v="1280"/>
    <n v="2023"/>
    <x v="6"/>
    <s v="2023-10-11"/>
    <x v="0"/>
    <x v="1"/>
    <x v="8"/>
    <s v="High"/>
    <n v="1488"/>
    <n v="236.29"/>
    <n v="0.15879704301075268"/>
    <n v="2"/>
    <x v="1"/>
  </r>
  <r>
    <n v="1281"/>
    <n v="2023"/>
    <x v="9"/>
    <s v="2023-09-24"/>
    <x v="1"/>
    <x v="2"/>
    <x v="4"/>
    <s v="High"/>
    <n v="969"/>
    <n v="147.88"/>
    <n v="0.1526109391124871"/>
    <n v="3"/>
    <x v="0"/>
  </r>
  <r>
    <n v="1282"/>
    <n v="2023"/>
    <x v="11"/>
    <s v="2023-03-27"/>
    <x v="1"/>
    <x v="2"/>
    <x v="13"/>
    <s v="High"/>
    <n v="4067"/>
    <n v="857.09"/>
    <n v="0.210742562085075"/>
    <n v="7"/>
    <x v="2"/>
  </r>
  <r>
    <n v="1283"/>
    <n v="2023"/>
    <x v="2"/>
    <s v="2023-11-17"/>
    <x v="3"/>
    <x v="1"/>
    <x v="3"/>
    <s v="High"/>
    <n v="3840"/>
    <n v="447.68"/>
    <n v="0.11658333333333333"/>
    <n v="8"/>
    <x v="2"/>
  </r>
  <r>
    <n v="1284"/>
    <n v="2023"/>
    <x v="5"/>
    <s v="2023-07-14"/>
    <x v="3"/>
    <x v="1"/>
    <x v="10"/>
    <s v="High"/>
    <n v="5886"/>
    <n v="1766.85"/>
    <n v="0.30017838939857289"/>
    <n v="6"/>
    <x v="0"/>
  </r>
  <r>
    <n v="1285"/>
    <n v="2023"/>
    <x v="8"/>
    <s v="2023-06-14"/>
    <x v="1"/>
    <x v="0"/>
    <x v="1"/>
    <s v="High"/>
    <n v="900"/>
    <n v="115.17"/>
    <n v="0.12796666666666667"/>
    <n v="10"/>
    <x v="1"/>
  </r>
  <r>
    <n v="1286"/>
    <n v="2023"/>
    <x v="4"/>
    <s v="2023-12-22"/>
    <x v="3"/>
    <x v="2"/>
    <x v="11"/>
    <s v="High"/>
    <n v="3864"/>
    <n v="601.54999999999995"/>
    <n v="0.15568064182194616"/>
    <n v="8"/>
    <x v="0"/>
  </r>
  <r>
    <n v="1287"/>
    <n v="2023"/>
    <x v="10"/>
    <s v="2023-04-13"/>
    <x v="0"/>
    <x v="2"/>
    <x v="11"/>
    <s v="High"/>
    <n v="3340"/>
    <n v="959.44"/>
    <n v="0.28725748502994014"/>
    <n v="10"/>
    <x v="0"/>
  </r>
  <r>
    <n v="1288"/>
    <n v="2023"/>
    <x v="0"/>
    <s v="2023-05-30"/>
    <x v="1"/>
    <x v="1"/>
    <x v="10"/>
    <s v="High"/>
    <n v="1834"/>
    <n v="215.64"/>
    <n v="0.11757906215921482"/>
    <n v="2"/>
    <x v="1"/>
  </r>
  <r>
    <n v="1289"/>
    <n v="2023"/>
    <x v="11"/>
    <s v="2023-03-20"/>
    <x v="3"/>
    <x v="2"/>
    <x v="6"/>
    <s v="High"/>
    <n v="1575"/>
    <n v="547.29999999999995"/>
    <n v="0.34749206349206346"/>
    <n v="7"/>
    <x v="0"/>
  </r>
  <r>
    <n v="1290"/>
    <n v="2023"/>
    <x v="7"/>
    <s v="2023-01-19"/>
    <x v="2"/>
    <x v="2"/>
    <x v="13"/>
    <s v="High"/>
    <n v="4548"/>
    <n v="1486.69"/>
    <n v="0.32688874230430959"/>
    <n v="6"/>
    <x v="0"/>
  </r>
  <r>
    <n v="1291"/>
    <n v="2023"/>
    <x v="2"/>
    <s v="2023-11-28"/>
    <x v="3"/>
    <x v="1"/>
    <x v="2"/>
    <s v="High"/>
    <n v="1700"/>
    <n v="446.96"/>
    <n v="0.26291764705882353"/>
    <n v="10"/>
    <x v="2"/>
  </r>
  <r>
    <n v="1292"/>
    <n v="2023"/>
    <x v="7"/>
    <s v="2023-01-06"/>
    <x v="2"/>
    <x v="2"/>
    <x v="11"/>
    <s v="High"/>
    <n v="754"/>
    <n v="212.36"/>
    <n v="0.28164456233421753"/>
    <n v="2"/>
    <x v="2"/>
  </r>
  <r>
    <n v="1293"/>
    <n v="2023"/>
    <x v="5"/>
    <s v="2023-07-11"/>
    <x v="1"/>
    <x v="0"/>
    <x v="1"/>
    <s v="High"/>
    <n v="1120"/>
    <n v="298.39"/>
    <n v="0.26641964285714287"/>
    <n v="7"/>
    <x v="1"/>
  </r>
  <r>
    <n v="1294"/>
    <n v="2023"/>
    <x v="3"/>
    <s v="2023-02-23"/>
    <x v="0"/>
    <x v="1"/>
    <x v="3"/>
    <s v="High"/>
    <n v="4655"/>
    <n v="1417.24"/>
    <n v="0.30445542427497313"/>
    <n v="5"/>
    <x v="1"/>
  </r>
  <r>
    <n v="1295"/>
    <n v="2023"/>
    <x v="8"/>
    <s v="2023-06-25"/>
    <x v="3"/>
    <x v="0"/>
    <x v="5"/>
    <s v="High"/>
    <n v="1064"/>
    <n v="185.18"/>
    <n v="0.17404135338345866"/>
    <n v="8"/>
    <x v="1"/>
  </r>
  <r>
    <n v="1296"/>
    <n v="2023"/>
    <x v="3"/>
    <s v="2023-02-04"/>
    <x v="2"/>
    <x v="1"/>
    <x v="10"/>
    <s v="High"/>
    <n v="855"/>
    <n v="73.61"/>
    <n v="8.6093567251461986E-2"/>
    <n v="5"/>
    <x v="1"/>
  </r>
  <r>
    <n v="1297"/>
    <n v="2023"/>
    <x v="0"/>
    <s v="2023-05-05"/>
    <x v="1"/>
    <x v="2"/>
    <x v="4"/>
    <s v="High"/>
    <n v="6435"/>
    <n v="1089.8800000000001"/>
    <n v="0.1693675213675214"/>
    <n v="9"/>
    <x v="0"/>
  </r>
  <r>
    <n v="1298"/>
    <n v="2023"/>
    <x v="2"/>
    <s v="2023-11-19"/>
    <x v="1"/>
    <x v="2"/>
    <x v="13"/>
    <s v="High"/>
    <n v="2415"/>
    <n v="474.97"/>
    <n v="0.19667494824016565"/>
    <n v="3"/>
    <x v="1"/>
  </r>
  <r>
    <n v="1299"/>
    <n v="2023"/>
    <x v="6"/>
    <s v="2023-10-31"/>
    <x v="1"/>
    <x v="1"/>
    <x v="7"/>
    <s v="High"/>
    <n v="6132"/>
    <n v="846.19"/>
    <n v="0.13799575994781474"/>
    <n v="7"/>
    <x v="1"/>
  </r>
  <r>
    <n v="1300"/>
    <n v="2023"/>
    <x v="10"/>
    <s v="2023-04-06"/>
    <x v="0"/>
    <x v="2"/>
    <x v="4"/>
    <s v="High"/>
    <n v="2106"/>
    <n v="233.28"/>
    <n v="0.11076923076923077"/>
    <n v="6"/>
    <x v="0"/>
  </r>
  <r>
    <n v="1301"/>
    <n v="2023"/>
    <x v="5"/>
    <s v="2023-07-18"/>
    <x v="3"/>
    <x v="0"/>
    <x v="12"/>
    <s v="Medium"/>
    <n v="390"/>
    <n v="67.84"/>
    <n v="0.17394871794871797"/>
    <n v="10"/>
    <x v="0"/>
  </r>
  <r>
    <n v="1302"/>
    <n v="2023"/>
    <x v="6"/>
    <s v="2023-10-30"/>
    <x v="3"/>
    <x v="2"/>
    <x v="6"/>
    <s v="High"/>
    <n v="940"/>
    <n v="135.75"/>
    <n v="0.14441489361702128"/>
    <n v="2"/>
    <x v="0"/>
  </r>
  <r>
    <n v="1303"/>
    <n v="2023"/>
    <x v="11"/>
    <s v="2023-03-14"/>
    <x v="3"/>
    <x v="1"/>
    <x v="2"/>
    <s v="High"/>
    <n v="7875"/>
    <n v="923.14"/>
    <n v="0.11722412698412699"/>
    <n v="9"/>
    <x v="0"/>
  </r>
  <r>
    <n v="1304"/>
    <n v="2023"/>
    <x v="2"/>
    <s v="2023-11-22"/>
    <x v="1"/>
    <x v="2"/>
    <x v="13"/>
    <s v="High"/>
    <n v="6462"/>
    <n v="1371.26"/>
    <n v="0.21220365212008666"/>
    <n v="9"/>
    <x v="1"/>
  </r>
  <r>
    <n v="1305"/>
    <n v="2023"/>
    <x v="2"/>
    <s v="2023-11-14"/>
    <x v="3"/>
    <x v="1"/>
    <x v="2"/>
    <s v="High"/>
    <n v="815"/>
    <n v="95.24"/>
    <n v="0.11685889570552146"/>
    <n v="1"/>
    <x v="1"/>
  </r>
  <r>
    <n v="1306"/>
    <n v="2023"/>
    <x v="9"/>
    <s v="2023-09-09"/>
    <x v="2"/>
    <x v="2"/>
    <x v="13"/>
    <s v="High"/>
    <n v="4550"/>
    <n v="465.56"/>
    <n v="0.10232087912087912"/>
    <n v="7"/>
    <x v="0"/>
  </r>
  <r>
    <n v="1307"/>
    <n v="2023"/>
    <x v="0"/>
    <s v="2023-05-21"/>
    <x v="3"/>
    <x v="1"/>
    <x v="2"/>
    <s v="High"/>
    <n v="4724"/>
    <n v="1373.74"/>
    <n v="0.29080016934801017"/>
    <n v="4"/>
    <x v="2"/>
  </r>
  <r>
    <n v="1308"/>
    <n v="2023"/>
    <x v="3"/>
    <s v="2023-02-28"/>
    <x v="0"/>
    <x v="0"/>
    <x v="12"/>
    <s v="High"/>
    <n v="740"/>
    <n v="223.56"/>
    <n v="0.30210810810810812"/>
    <n v="5"/>
    <x v="0"/>
  </r>
  <r>
    <n v="1309"/>
    <n v="2023"/>
    <x v="3"/>
    <s v="2023-02-22"/>
    <x v="1"/>
    <x v="1"/>
    <x v="10"/>
    <s v="High"/>
    <n v="2756"/>
    <n v="416.05"/>
    <n v="0.15096153846153845"/>
    <n v="4"/>
    <x v="1"/>
  </r>
  <r>
    <n v="1310"/>
    <n v="2023"/>
    <x v="10"/>
    <s v="2023-04-18"/>
    <x v="0"/>
    <x v="1"/>
    <x v="10"/>
    <s v="High"/>
    <n v="7980"/>
    <n v="2001.77"/>
    <n v="0.25084837092731832"/>
    <n v="10"/>
    <x v="2"/>
  </r>
  <r>
    <n v="1311"/>
    <n v="2023"/>
    <x v="10"/>
    <s v="2023-04-16"/>
    <x v="1"/>
    <x v="1"/>
    <x v="7"/>
    <s v="High"/>
    <n v="798"/>
    <n v="192.44"/>
    <n v="0.24115288220551379"/>
    <n v="1"/>
    <x v="2"/>
  </r>
  <r>
    <n v="1312"/>
    <n v="2023"/>
    <x v="6"/>
    <s v="2023-10-21"/>
    <x v="3"/>
    <x v="1"/>
    <x v="3"/>
    <s v="High"/>
    <n v="5665"/>
    <n v="660.59"/>
    <n v="0.11660900264783761"/>
    <n v="5"/>
    <x v="1"/>
  </r>
  <r>
    <n v="1313"/>
    <n v="2023"/>
    <x v="11"/>
    <s v="2023-03-06"/>
    <x v="3"/>
    <x v="2"/>
    <x v="4"/>
    <s v="High"/>
    <n v="897"/>
    <n v="149.77000000000001"/>
    <n v="0.16696767001114829"/>
    <n v="3"/>
    <x v="0"/>
  </r>
  <r>
    <n v="1314"/>
    <n v="2023"/>
    <x v="6"/>
    <s v="2023-10-23"/>
    <x v="2"/>
    <x v="1"/>
    <x v="10"/>
    <s v="High"/>
    <n v="4640"/>
    <n v="465.81"/>
    <n v="0.10039008620689656"/>
    <n v="5"/>
    <x v="2"/>
  </r>
  <r>
    <n v="1315"/>
    <n v="2023"/>
    <x v="5"/>
    <s v="2023-07-08"/>
    <x v="3"/>
    <x v="1"/>
    <x v="10"/>
    <s v="High"/>
    <n v="8632"/>
    <n v="696.32"/>
    <n v="8.0667284522706217E-2"/>
    <n v="8"/>
    <x v="0"/>
  </r>
  <r>
    <n v="1316"/>
    <n v="2023"/>
    <x v="4"/>
    <s v="2023-12-07"/>
    <x v="2"/>
    <x v="0"/>
    <x v="0"/>
    <s v="High"/>
    <n v="666"/>
    <n v="92.45"/>
    <n v="0.13881381381381383"/>
    <n v="6"/>
    <x v="0"/>
  </r>
  <r>
    <n v="1317"/>
    <n v="2023"/>
    <x v="8"/>
    <s v="2023-06-15"/>
    <x v="2"/>
    <x v="2"/>
    <x v="6"/>
    <s v="High"/>
    <n v="3550"/>
    <n v="409.17"/>
    <n v="0.11525915492957747"/>
    <n v="5"/>
    <x v="1"/>
  </r>
  <r>
    <n v="1318"/>
    <n v="2023"/>
    <x v="3"/>
    <s v="2023-02-20"/>
    <x v="0"/>
    <x v="2"/>
    <x v="11"/>
    <s v="High"/>
    <n v="2216"/>
    <n v="441.31"/>
    <n v="0.19914711191335741"/>
    <n v="8"/>
    <x v="2"/>
  </r>
  <r>
    <n v="1319"/>
    <n v="2023"/>
    <x v="11"/>
    <s v="2023-03-09"/>
    <x v="1"/>
    <x v="1"/>
    <x v="10"/>
    <s v="High"/>
    <n v="2025"/>
    <n v="519.9"/>
    <n v="0.25674074074074071"/>
    <n v="5"/>
    <x v="0"/>
  </r>
  <r>
    <n v="1320"/>
    <n v="2023"/>
    <x v="2"/>
    <s v="2023-11-29"/>
    <x v="3"/>
    <x v="2"/>
    <x v="4"/>
    <s v="High"/>
    <n v="1665"/>
    <n v="270.54000000000002"/>
    <n v="0.1624864864864865"/>
    <n v="3"/>
    <x v="0"/>
  </r>
  <r>
    <n v="1321"/>
    <n v="2023"/>
    <x v="3"/>
    <s v="2023-02-16"/>
    <x v="2"/>
    <x v="0"/>
    <x v="5"/>
    <s v="Medium"/>
    <n v="264"/>
    <n v="26.68"/>
    <n v="0.10106060606060606"/>
    <n v="2"/>
    <x v="0"/>
  </r>
  <r>
    <n v="1322"/>
    <n v="2023"/>
    <x v="7"/>
    <s v="2023-01-05"/>
    <x v="2"/>
    <x v="0"/>
    <x v="5"/>
    <s v="High"/>
    <n v="1122"/>
    <n v="129.80000000000001"/>
    <n v="0.11568627450980393"/>
    <n v="6"/>
    <x v="2"/>
  </r>
  <r>
    <n v="1323"/>
    <n v="2023"/>
    <x v="3"/>
    <s v="2023-02-22"/>
    <x v="2"/>
    <x v="1"/>
    <x v="2"/>
    <s v="High"/>
    <n v="1442"/>
    <n v="168.75"/>
    <n v="0.1170249653259362"/>
    <n v="2"/>
    <x v="2"/>
  </r>
  <r>
    <n v="1324"/>
    <n v="2023"/>
    <x v="6"/>
    <s v="2023-10-16"/>
    <x v="0"/>
    <x v="1"/>
    <x v="2"/>
    <s v="Medium"/>
    <n v="416"/>
    <n v="114.42"/>
    <n v="0.27504807692307692"/>
    <n v="1"/>
    <x v="0"/>
  </r>
  <r>
    <n v="1325"/>
    <n v="2023"/>
    <x v="4"/>
    <s v="2023-12-18"/>
    <x v="2"/>
    <x v="0"/>
    <x v="5"/>
    <s v="Medium"/>
    <n v="280"/>
    <n v="32.979999999999997"/>
    <n v="0.11778571428571427"/>
    <n v="8"/>
    <x v="0"/>
  </r>
  <r>
    <n v="1326"/>
    <n v="2023"/>
    <x v="1"/>
    <s v="2023-08-08"/>
    <x v="2"/>
    <x v="1"/>
    <x v="7"/>
    <s v="High"/>
    <n v="2196"/>
    <n v="557.89"/>
    <n v="0.25404826958105647"/>
    <n v="6"/>
    <x v="1"/>
  </r>
  <r>
    <n v="1327"/>
    <n v="2023"/>
    <x v="7"/>
    <s v="2023-01-14"/>
    <x v="3"/>
    <x v="1"/>
    <x v="7"/>
    <s v="High"/>
    <n v="2500"/>
    <n v="543.92999999999995"/>
    <n v="0.21757199999999999"/>
    <n v="5"/>
    <x v="0"/>
  </r>
  <r>
    <n v="1328"/>
    <n v="2023"/>
    <x v="7"/>
    <s v="2023-01-28"/>
    <x v="3"/>
    <x v="0"/>
    <x v="12"/>
    <s v="Low"/>
    <n v="152"/>
    <n v="22.05"/>
    <n v="0.1450657894736842"/>
    <n v="4"/>
    <x v="0"/>
  </r>
  <r>
    <n v="1329"/>
    <n v="2023"/>
    <x v="7"/>
    <s v="2023-01-07"/>
    <x v="0"/>
    <x v="0"/>
    <x v="1"/>
    <s v="High"/>
    <n v="654"/>
    <n v="204.32"/>
    <n v="0.31241590214067277"/>
    <n v="6"/>
    <x v="0"/>
  </r>
  <r>
    <n v="1330"/>
    <n v="2023"/>
    <x v="4"/>
    <s v="2023-12-16"/>
    <x v="3"/>
    <x v="0"/>
    <x v="12"/>
    <s v="Low"/>
    <n v="42"/>
    <n v="10.02"/>
    <n v="0.23857142857142857"/>
    <n v="3"/>
    <x v="0"/>
  </r>
  <r>
    <n v="1331"/>
    <n v="2023"/>
    <x v="7"/>
    <s v="2023-01-31"/>
    <x v="1"/>
    <x v="1"/>
    <x v="3"/>
    <s v="High"/>
    <n v="7819"/>
    <n v="2129.9699999999998"/>
    <n v="0.27240951528328428"/>
    <n v="7"/>
    <x v="2"/>
  </r>
  <r>
    <n v="1332"/>
    <n v="2023"/>
    <x v="2"/>
    <s v="2023-11-24"/>
    <x v="2"/>
    <x v="2"/>
    <x v="13"/>
    <s v="High"/>
    <n v="7020"/>
    <n v="1087.51"/>
    <n v="0.1549159544159544"/>
    <n v="9"/>
    <x v="2"/>
  </r>
  <r>
    <n v="1333"/>
    <n v="2023"/>
    <x v="6"/>
    <s v="2023-10-02"/>
    <x v="1"/>
    <x v="2"/>
    <x v="4"/>
    <s v="High"/>
    <n v="4500"/>
    <n v="1287.32"/>
    <n v="0.28607111111111111"/>
    <n v="6"/>
    <x v="2"/>
  </r>
  <r>
    <n v="1334"/>
    <n v="2023"/>
    <x v="1"/>
    <s v="2023-08-12"/>
    <x v="3"/>
    <x v="0"/>
    <x v="0"/>
    <s v="Low"/>
    <n v="128"/>
    <n v="42.2"/>
    <n v="0.32968750000000002"/>
    <n v="4"/>
    <x v="0"/>
  </r>
  <r>
    <n v="1335"/>
    <n v="2023"/>
    <x v="4"/>
    <s v="2023-12-08"/>
    <x v="0"/>
    <x v="1"/>
    <x v="10"/>
    <s v="High"/>
    <n v="972"/>
    <n v="113.77"/>
    <n v="0.11704732510288066"/>
    <n v="3"/>
    <x v="1"/>
  </r>
  <r>
    <n v="1336"/>
    <n v="2023"/>
    <x v="9"/>
    <s v="2023-09-25"/>
    <x v="2"/>
    <x v="1"/>
    <x v="2"/>
    <s v="High"/>
    <n v="5490"/>
    <n v="627.35"/>
    <n v="0.11427140255009108"/>
    <n v="9"/>
    <x v="1"/>
  </r>
  <r>
    <n v="1337"/>
    <n v="2023"/>
    <x v="1"/>
    <s v="2023-08-08"/>
    <x v="0"/>
    <x v="2"/>
    <x v="4"/>
    <s v="High"/>
    <n v="1075"/>
    <n v="292.75"/>
    <n v="0.27232558139534885"/>
    <n v="5"/>
    <x v="1"/>
  </r>
  <r>
    <n v="1338"/>
    <n v="2023"/>
    <x v="9"/>
    <s v="2023-09-19"/>
    <x v="2"/>
    <x v="0"/>
    <x v="0"/>
    <s v="High"/>
    <n v="930"/>
    <n v="116.3"/>
    <n v="0.12505376344086022"/>
    <n v="6"/>
    <x v="1"/>
  </r>
  <r>
    <n v="1339"/>
    <n v="2023"/>
    <x v="4"/>
    <s v="2023-12-12"/>
    <x v="0"/>
    <x v="1"/>
    <x v="3"/>
    <s v="High"/>
    <n v="1094"/>
    <n v="100.53"/>
    <n v="9.1892138939670936E-2"/>
    <n v="2"/>
    <x v="0"/>
  </r>
  <r>
    <n v="1340"/>
    <n v="2023"/>
    <x v="5"/>
    <s v="2023-07-06"/>
    <x v="0"/>
    <x v="1"/>
    <x v="2"/>
    <s v="High"/>
    <n v="2709"/>
    <n v="621.1"/>
    <n v="0.22927279438907347"/>
    <n v="7"/>
    <x v="1"/>
  </r>
  <r>
    <n v="1341"/>
    <n v="2023"/>
    <x v="0"/>
    <s v="2023-05-08"/>
    <x v="1"/>
    <x v="0"/>
    <x v="12"/>
    <s v="Medium"/>
    <n v="203"/>
    <n v="47.57"/>
    <n v="0.23433497536945813"/>
    <n v="7"/>
    <x v="1"/>
  </r>
  <r>
    <n v="1342"/>
    <n v="2023"/>
    <x v="10"/>
    <s v="2023-04-25"/>
    <x v="0"/>
    <x v="1"/>
    <x v="7"/>
    <s v="High"/>
    <n v="1566"/>
    <n v="496.09"/>
    <n v="0.31678799489144316"/>
    <n v="9"/>
    <x v="2"/>
  </r>
  <r>
    <n v="1343"/>
    <n v="2023"/>
    <x v="6"/>
    <s v="2023-10-11"/>
    <x v="3"/>
    <x v="2"/>
    <x v="11"/>
    <s v="High"/>
    <n v="4216"/>
    <n v="669.21"/>
    <n v="0.15873102466793171"/>
    <n v="8"/>
    <x v="2"/>
  </r>
  <r>
    <n v="1344"/>
    <n v="2023"/>
    <x v="6"/>
    <s v="2023-10-30"/>
    <x v="2"/>
    <x v="2"/>
    <x v="6"/>
    <s v="High"/>
    <n v="7200"/>
    <n v="2054.38"/>
    <n v="0.28533055555555559"/>
    <n v="8"/>
    <x v="1"/>
  </r>
  <r>
    <n v="1345"/>
    <n v="2023"/>
    <x v="7"/>
    <s v="2023-01-13"/>
    <x v="0"/>
    <x v="1"/>
    <x v="2"/>
    <s v="High"/>
    <n v="4756"/>
    <n v="1458.59"/>
    <n v="0.30668418839360806"/>
    <n v="4"/>
    <x v="1"/>
  </r>
  <r>
    <n v="1346"/>
    <n v="2023"/>
    <x v="5"/>
    <s v="2023-07-12"/>
    <x v="0"/>
    <x v="1"/>
    <x v="3"/>
    <s v="High"/>
    <n v="1460"/>
    <n v="504.34"/>
    <n v="0.34543835616438356"/>
    <n v="5"/>
    <x v="0"/>
  </r>
  <r>
    <n v="1347"/>
    <n v="2023"/>
    <x v="4"/>
    <s v="2023-12-31"/>
    <x v="0"/>
    <x v="2"/>
    <x v="13"/>
    <s v="High"/>
    <n v="970"/>
    <n v="312.60000000000002"/>
    <n v="0.32226804123711345"/>
    <n v="5"/>
    <x v="2"/>
  </r>
  <r>
    <n v="1348"/>
    <n v="2023"/>
    <x v="3"/>
    <s v="2023-02-13"/>
    <x v="3"/>
    <x v="0"/>
    <x v="12"/>
    <s v="Medium"/>
    <n v="440"/>
    <n v="110.9"/>
    <n v="0.25204545454545457"/>
    <n v="10"/>
    <x v="1"/>
  </r>
  <r>
    <n v="1349"/>
    <n v="2023"/>
    <x v="4"/>
    <s v="2023-12-06"/>
    <x v="0"/>
    <x v="2"/>
    <x v="4"/>
    <s v="High"/>
    <n v="1344"/>
    <n v="416.3"/>
    <n v="0.30974702380952379"/>
    <n v="3"/>
    <x v="1"/>
  </r>
  <r>
    <n v="1350"/>
    <n v="2023"/>
    <x v="0"/>
    <s v="2023-05-20"/>
    <x v="3"/>
    <x v="2"/>
    <x v="11"/>
    <s v="High"/>
    <n v="1428"/>
    <n v="414.95"/>
    <n v="0.29058123249299717"/>
    <n v="4"/>
    <x v="1"/>
  </r>
  <r>
    <n v="1351"/>
    <n v="2023"/>
    <x v="11"/>
    <s v="2023-03-26"/>
    <x v="1"/>
    <x v="0"/>
    <x v="0"/>
    <s v="High"/>
    <n v="912"/>
    <n v="102.69"/>
    <n v="0.11259868421052631"/>
    <n v="8"/>
    <x v="2"/>
  </r>
  <r>
    <n v="1352"/>
    <n v="2023"/>
    <x v="1"/>
    <s v="2023-08-26"/>
    <x v="2"/>
    <x v="2"/>
    <x v="6"/>
    <s v="High"/>
    <n v="1210"/>
    <n v="360.64"/>
    <n v="0.2980495867768595"/>
    <n v="5"/>
    <x v="1"/>
  </r>
  <r>
    <n v="1353"/>
    <n v="2023"/>
    <x v="11"/>
    <s v="2023-03-17"/>
    <x v="1"/>
    <x v="2"/>
    <x v="4"/>
    <s v="High"/>
    <n v="1028"/>
    <n v="224.76"/>
    <n v="0.21863813229571982"/>
    <n v="2"/>
    <x v="1"/>
  </r>
  <r>
    <n v="1354"/>
    <n v="2023"/>
    <x v="7"/>
    <s v="2023-01-16"/>
    <x v="3"/>
    <x v="0"/>
    <x v="9"/>
    <s v="High"/>
    <n v="1050"/>
    <n v="154.83000000000001"/>
    <n v="0.14745714285714287"/>
    <n v="7"/>
    <x v="2"/>
  </r>
  <r>
    <n v="1355"/>
    <n v="2023"/>
    <x v="7"/>
    <s v="2023-01-07"/>
    <x v="1"/>
    <x v="2"/>
    <x v="4"/>
    <s v="Medium"/>
    <n v="283"/>
    <n v="85.58"/>
    <n v="0.30240282685512365"/>
    <n v="1"/>
    <x v="2"/>
  </r>
  <r>
    <n v="1356"/>
    <n v="2023"/>
    <x v="7"/>
    <s v="2023-01-12"/>
    <x v="3"/>
    <x v="2"/>
    <x v="4"/>
    <s v="High"/>
    <n v="1622"/>
    <n v="484.18"/>
    <n v="0.29850801479654748"/>
    <n v="2"/>
    <x v="2"/>
  </r>
  <r>
    <n v="1357"/>
    <n v="2023"/>
    <x v="1"/>
    <s v="2023-08-25"/>
    <x v="0"/>
    <x v="1"/>
    <x v="3"/>
    <s v="Medium"/>
    <n v="424"/>
    <n v="127.99"/>
    <n v="0.30186320754716978"/>
    <n v="1"/>
    <x v="2"/>
  </r>
  <r>
    <n v="1358"/>
    <n v="2023"/>
    <x v="4"/>
    <s v="2023-12-16"/>
    <x v="0"/>
    <x v="2"/>
    <x v="13"/>
    <s v="High"/>
    <n v="3584"/>
    <n v="1165.67"/>
    <n v="0.32524274553571431"/>
    <n v="7"/>
    <x v="1"/>
  </r>
  <r>
    <n v="1359"/>
    <n v="2023"/>
    <x v="7"/>
    <s v="2023-01-18"/>
    <x v="2"/>
    <x v="2"/>
    <x v="11"/>
    <s v="High"/>
    <n v="8120"/>
    <n v="1743.37"/>
    <n v="0.21470073891625616"/>
    <n v="10"/>
    <x v="2"/>
  </r>
  <r>
    <n v="1360"/>
    <n v="2023"/>
    <x v="0"/>
    <s v="2023-05-24"/>
    <x v="0"/>
    <x v="0"/>
    <x v="12"/>
    <s v="Medium"/>
    <n v="427"/>
    <n v="108.25"/>
    <n v="0.25351288056206089"/>
    <n v="7"/>
    <x v="2"/>
  </r>
  <r>
    <n v="1361"/>
    <n v="2023"/>
    <x v="5"/>
    <s v="2023-07-03"/>
    <x v="0"/>
    <x v="0"/>
    <x v="5"/>
    <s v="High"/>
    <n v="784"/>
    <n v="255.92"/>
    <n v="0.3264285714285714"/>
    <n v="8"/>
    <x v="1"/>
  </r>
  <r>
    <n v="1362"/>
    <n v="2023"/>
    <x v="10"/>
    <s v="2023-04-03"/>
    <x v="2"/>
    <x v="0"/>
    <x v="9"/>
    <s v="Low"/>
    <n v="66"/>
    <n v="5.8"/>
    <n v="8.7878787878787876E-2"/>
    <n v="1"/>
    <x v="1"/>
  </r>
  <r>
    <n v="1363"/>
    <n v="2023"/>
    <x v="5"/>
    <s v="2023-07-03"/>
    <x v="2"/>
    <x v="2"/>
    <x v="4"/>
    <s v="High"/>
    <n v="3130"/>
    <n v="459.86"/>
    <n v="0.14692012779552716"/>
    <n v="10"/>
    <x v="0"/>
  </r>
  <r>
    <n v="1364"/>
    <n v="2023"/>
    <x v="6"/>
    <s v="2023-10-22"/>
    <x v="0"/>
    <x v="1"/>
    <x v="3"/>
    <s v="High"/>
    <n v="5642"/>
    <n v="811.71"/>
    <n v="0.14386919532080822"/>
    <n v="7"/>
    <x v="2"/>
  </r>
  <r>
    <n v="1365"/>
    <n v="2023"/>
    <x v="4"/>
    <s v="2023-12-25"/>
    <x v="0"/>
    <x v="2"/>
    <x v="11"/>
    <s v="High"/>
    <n v="4356"/>
    <n v="1332.54"/>
    <n v="0.30590909090909091"/>
    <n v="6"/>
    <x v="0"/>
  </r>
  <r>
    <n v="1366"/>
    <n v="2023"/>
    <x v="7"/>
    <s v="2023-01-20"/>
    <x v="1"/>
    <x v="2"/>
    <x v="11"/>
    <s v="High"/>
    <n v="776"/>
    <n v="107.92"/>
    <n v="0.13907216494845362"/>
    <n v="2"/>
    <x v="1"/>
  </r>
  <r>
    <n v="1367"/>
    <n v="2023"/>
    <x v="2"/>
    <s v="2023-11-11"/>
    <x v="0"/>
    <x v="0"/>
    <x v="12"/>
    <s v="High"/>
    <n v="772"/>
    <n v="98.75"/>
    <n v="0.12791450777202074"/>
    <n v="4"/>
    <x v="1"/>
  </r>
  <r>
    <n v="1368"/>
    <n v="2023"/>
    <x v="6"/>
    <s v="2023-10-28"/>
    <x v="0"/>
    <x v="2"/>
    <x v="4"/>
    <s v="High"/>
    <n v="2064"/>
    <n v="700.42"/>
    <n v="0.33935077519379842"/>
    <n v="3"/>
    <x v="2"/>
  </r>
  <r>
    <n v="1369"/>
    <n v="2023"/>
    <x v="8"/>
    <s v="2023-06-04"/>
    <x v="0"/>
    <x v="2"/>
    <x v="13"/>
    <s v="High"/>
    <n v="1866"/>
    <n v="627.25"/>
    <n v="0.33614683815648444"/>
    <n v="6"/>
    <x v="1"/>
  </r>
  <r>
    <n v="1370"/>
    <n v="2023"/>
    <x v="4"/>
    <s v="2023-12-29"/>
    <x v="3"/>
    <x v="0"/>
    <x v="12"/>
    <s v="High"/>
    <n v="1620"/>
    <n v="387.21"/>
    <n v="0.23901851851851852"/>
    <n v="9"/>
    <x v="2"/>
  </r>
  <r>
    <n v="1371"/>
    <n v="2023"/>
    <x v="4"/>
    <s v="2023-12-19"/>
    <x v="3"/>
    <x v="1"/>
    <x v="10"/>
    <s v="High"/>
    <n v="1700"/>
    <n v="136.83000000000001"/>
    <n v="8.0488235294117652E-2"/>
    <n v="5"/>
    <x v="0"/>
  </r>
  <r>
    <n v="1372"/>
    <n v="2023"/>
    <x v="7"/>
    <s v="2023-01-17"/>
    <x v="2"/>
    <x v="0"/>
    <x v="1"/>
    <s v="Low"/>
    <n v="198"/>
    <n v="50.04"/>
    <n v="0.25272727272727274"/>
    <n v="3"/>
    <x v="0"/>
  </r>
  <r>
    <n v="1373"/>
    <n v="2023"/>
    <x v="3"/>
    <s v="2023-02-09"/>
    <x v="1"/>
    <x v="1"/>
    <x v="10"/>
    <s v="High"/>
    <n v="3160"/>
    <n v="795.59"/>
    <n v="0.25176898734177217"/>
    <n v="4"/>
    <x v="1"/>
  </r>
  <r>
    <n v="1374"/>
    <n v="2023"/>
    <x v="0"/>
    <s v="2023-05-16"/>
    <x v="2"/>
    <x v="1"/>
    <x v="3"/>
    <s v="High"/>
    <n v="2364"/>
    <n v="412.83"/>
    <n v="0.17463197969543146"/>
    <n v="4"/>
    <x v="2"/>
  </r>
  <r>
    <n v="1375"/>
    <n v="2023"/>
    <x v="1"/>
    <s v="2023-08-13"/>
    <x v="0"/>
    <x v="1"/>
    <x v="8"/>
    <s v="High"/>
    <n v="2940"/>
    <n v="935.15"/>
    <n v="0.318078231292517"/>
    <n v="7"/>
    <x v="1"/>
  </r>
  <r>
    <n v="1376"/>
    <n v="2023"/>
    <x v="6"/>
    <s v="2023-10-23"/>
    <x v="0"/>
    <x v="2"/>
    <x v="13"/>
    <s v="High"/>
    <n v="2448"/>
    <n v="724.08"/>
    <n v="0.29578431372549019"/>
    <n v="4"/>
    <x v="1"/>
  </r>
  <r>
    <n v="1377"/>
    <n v="2023"/>
    <x v="0"/>
    <s v="2023-05-14"/>
    <x v="0"/>
    <x v="1"/>
    <x v="3"/>
    <s v="Medium"/>
    <n v="462"/>
    <n v="147.72"/>
    <n v="0.31974025974025971"/>
    <n v="2"/>
    <x v="1"/>
  </r>
  <r>
    <n v="1378"/>
    <n v="2023"/>
    <x v="2"/>
    <s v="2023-11-01"/>
    <x v="0"/>
    <x v="1"/>
    <x v="8"/>
    <s v="High"/>
    <n v="10680"/>
    <n v="2098.16"/>
    <n v="0.1964569288389513"/>
    <n v="10"/>
    <x v="1"/>
  </r>
  <r>
    <n v="1379"/>
    <n v="2023"/>
    <x v="7"/>
    <s v="2023-01-28"/>
    <x v="2"/>
    <x v="0"/>
    <x v="5"/>
    <s v="Low"/>
    <n v="116"/>
    <n v="22.1"/>
    <n v="0.19051724137931036"/>
    <n v="2"/>
    <x v="2"/>
  </r>
  <r>
    <n v="1380"/>
    <n v="2023"/>
    <x v="0"/>
    <s v="2023-05-25"/>
    <x v="3"/>
    <x v="0"/>
    <x v="1"/>
    <s v="Low"/>
    <n v="110"/>
    <n v="20.47"/>
    <n v="0.18609090909090908"/>
    <n v="5"/>
    <x v="0"/>
  </r>
  <r>
    <n v="1381"/>
    <n v="2023"/>
    <x v="5"/>
    <s v="2023-07-04"/>
    <x v="1"/>
    <x v="0"/>
    <x v="12"/>
    <s v="Low"/>
    <n v="85"/>
    <n v="25.71"/>
    <n v="0.3024705882352941"/>
    <n v="1"/>
    <x v="2"/>
  </r>
  <r>
    <n v="1382"/>
    <n v="2023"/>
    <x v="3"/>
    <s v="2023-02-19"/>
    <x v="2"/>
    <x v="0"/>
    <x v="1"/>
    <s v="Low"/>
    <n v="173"/>
    <n v="27.47"/>
    <n v="0.15878612716763005"/>
    <n v="1"/>
    <x v="2"/>
  </r>
  <r>
    <n v="1383"/>
    <n v="2023"/>
    <x v="5"/>
    <s v="2023-07-23"/>
    <x v="0"/>
    <x v="1"/>
    <x v="10"/>
    <s v="High"/>
    <n v="8648"/>
    <n v="904.64"/>
    <n v="0.10460684551341351"/>
    <n v="8"/>
    <x v="1"/>
  </r>
  <r>
    <n v="1384"/>
    <n v="2023"/>
    <x v="5"/>
    <s v="2023-07-15"/>
    <x v="1"/>
    <x v="0"/>
    <x v="12"/>
    <s v="Low"/>
    <n v="126"/>
    <n v="19.04"/>
    <n v="0.15111111111111111"/>
    <n v="6"/>
    <x v="1"/>
  </r>
  <r>
    <n v="1385"/>
    <n v="2023"/>
    <x v="6"/>
    <s v="2023-10-16"/>
    <x v="1"/>
    <x v="2"/>
    <x v="11"/>
    <s v="High"/>
    <n v="863"/>
    <n v="91.57"/>
    <n v="0.10610660486674391"/>
    <n v="1"/>
    <x v="1"/>
  </r>
  <r>
    <n v="1386"/>
    <n v="2023"/>
    <x v="10"/>
    <s v="2023-04-27"/>
    <x v="2"/>
    <x v="0"/>
    <x v="9"/>
    <s v="High"/>
    <n v="1287"/>
    <n v="248.43"/>
    <n v="0.19303030303030302"/>
    <n v="9"/>
    <x v="0"/>
  </r>
  <r>
    <n v="1387"/>
    <n v="2023"/>
    <x v="8"/>
    <s v="2023-06-03"/>
    <x v="1"/>
    <x v="0"/>
    <x v="12"/>
    <s v="Low"/>
    <n v="36"/>
    <n v="7.76"/>
    <n v="0.21555555555555556"/>
    <n v="2"/>
    <x v="1"/>
  </r>
  <r>
    <n v="1388"/>
    <n v="2023"/>
    <x v="1"/>
    <s v="2023-08-18"/>
    <x v="1"/>
    <x v="0"/>
    <x v="1"/>
    <s v="Low"/>
    <n v="177"/>
    <n v="20.190000000000001"/>
    <n v="0.1140677966101695"/>
    <n v="3"/>
    <x v="2"/>
  </r>
  <r>
    <n v="1389"/>
    <n v="2023"/>
    <x v="2"/>
    <s v="2023-11-18"/>
    <x v="2"/>
    <x v="2"/>
    <x v="4"/>
    <s v="High"/>
    <n v="1431"/>
    <n v="467.69"/>
    <n v="0.32682739343116701"/>
    <n v="3"/>
    <x v="2"/>
  </r>
  <r>
    <n v="1390"/>
    <n v="2023"/>
    <x v="5"/>
    <s v="2023-07-23"/>
    <x v="2"/>
    <x v="1"/>
    <x v="8"/>
    <s v="High"/>
    <n v="6723"/>
    <n v="1369.49"/>
    <n v="0.20370221627249741"/>
    <n v="9"/>
    <x v="0"/>
  </r>
  <r>
    <n v="1391"/>
    <n v="2023"/>
    <x v="1"/>
    <s v="2023-08-01"/>
    <x v="2"/>
    <x v="1"/>
    <x v="7"/>
    <s v="High"/>
    <n v="1149"/>
    <n v="272.68"/>
    <n v="0.23731940818102698"/>
    <n v="3"/>
    <x v="2"/>
  </r>
  <r>
    <n v="1392"/>
    <n v="2023"/>
    <x v="6"/>
    <s v="2023-10-02"/>
    <x v="0"/>
    <x v="1"/>
    <x v="8"/>
    <s v="High"/>
    <n v="5526"/>
    <n v="1419.04"/>
    <n v="0.25679334057184222"/>
    <n v="6"/>
    <x v="1"/>
  </r>
  <r>
    <n v="1393"/>
    <n v="2023"/>
    <x v="11"/>
    <s v="2023-03-30"/>
    <x v="2"/>
    <x v="0"/>
    <x v="1"/>
    <s v="High"/>
    <n v="840"/>
    <n v="205.24"/>
    <n v="0.24433333333333335"/>
    <n v="5"/>
    <x v="2"/>
  </r>
  <r>
    <n v="1394"/>
    <n v="2023"/>
    <x v="8"/>
    <s v="2023-06-19"/>
    <x v="0"/>
    <x v="0"/>
    <x v="12"/>
    <s v="Medium"/>
    <n v="312"/>
    <n v="100.53"/>
    <n v="0.32221153846153844"/>
    <n v="4"/>
    <x v="1"/>
  </r>
  <r>
    <n v="1395"/>
    <n v="2023"/>
    <x v="0"/>
    <s v="2023-05-24"/>
    <x v="3"/>
    <x v="1"/>
    <x v="3"/>
    <s v="High"/>
    <n v="2248"/>
    <n v="362.22"/>
    <n v="0.16112989323843419"/>
    <n v="8"/>
    <x v="1"/>
  </r>
  <r>
    <n v="1396"/>
    <n v="2023"/>
    <x v="1"/>
    <s v="2023-08-02"/>
    <x v="3"/>
    <x v="0"/>
    <x v="12"/>
    <s v="High"/>
    <n v="1230"/>
    <n v="168.6"/>
    <n v="0.1370731707317073"/>
    <n v="10"/>
    <x v="1"/>
  </r>
  <r>
    <n v="1397"/>
    <n v="2023"/>
    <x v="9"/>
    <s v="2023-09-21"/>
    <x v="3"/>
    <x v="2"/>
    <x v="13"/>
    <s v="High"/>
    <n v="1404"/>
    <n v="304.44"/>
    <n v="0.21683760683760683"/>
    <n v="3"/>
    <x v="2"/>
  </r>
  <r>
    <n v="1398"/>
    <n v="2023"/>
    <x v="10"/>
    <s v="2023-04-09"/>
    <x v="0"/>
    <x v="1"/>
    <x v="7"/>
    <s v="High"/>
    <n v="792"/>
    <n v="160.97"/>
    <n v="0.20324494949494951"/>
    <n v="4"/>
    <x v="2"/>
  </r>
  <r>
    <n v="1399"/>
    <n v="2023"/>
    <x v="1"/>
    <s v="2023-08-26"/>
    <x v="3"/>
    <x v="2"/>
    <x v="6"/>
    <s v="High"/>
    <n v="7200"/>
    <n v="1900.2"/>
    <n v="0.26391666666666669"/>
    <n v="9"/>
    <x v="1"/>
  </r>
  <r>
    <n v="1400"/>
    <n v="2023"/>
    <x v="1"/>
    <s v="2023-08-17"/>
    <x v="2"/>
    <x v="1"/>
    <x v="3"/>
    <s v="High"/>
    <n v="3153"/>
    <n v="549.99"/>
    <n v="0.17443387250237868"/>
    <n v="3"/>
    <x v="0"/>
  </r>
  <r>
    <n v="1401"/>
    <n v="2023"/>
    <x v="7"/>
    <s v="2023-01-15"/>
    <x v="0"/>
    <x v="1"/>
    <x v="3"/>
    <s v="High"/>
    <n v="1267"/>
    <n v="368.13"/>
    <n v="0.29055248618784529"/>
    <n v="7"/>
    <x v="1"/>
  </r>
  <r>
    <n v="1402"/>
    <n v="2023"/>
    <x v="10"/>
    <s v="2023-04-16"/>
    <x v="1"/>
    <x v="1"/>
    <x v="2"/>
    <s v="High"/>
    <n v="4590"/>
    <n v="1438.74"/>
    <n v="0.31345098039215685"/>
    <n v="5"/>
    <x v="0"/>
  </r>
  <r>
    <n v="1403"/>
    <n v="2023"/>
    <x v="2"/>
    <s v="2023-11-28"/>
    <x v="2"/>
    <x v="0"/>
    <x v="0"/>
    <s v="Medium"/>
    <n v="222"/>
    <n v="54.22"/>
    <n v="0.24423423423423424"/>
    <n v="3"/>
    <x v="2"/>
  </r>
  <r>
    <n v="1404"/>
    <n v="2023"/>
    <x v="8"/>
    <s v="2023-06-28"/>
    <x v="2"/>
    <x v="2"/>
    <x v="11"/>
    <s v="High"/>
    <n v="2984"/>
    <n v="482.15"/>
    <n v="0.16157841823056299"/>
    <n v="8"/>
    <x v="1"/>
  </r>
  <r>
    <n v="1405"/>
    <n v="2023"/>
    <x v="3"/>
    <s v="2023-02-22"/>
    <x v="2"/>
    <x v="0"/>
    <x v="1"/>
    <s v="Low"/>
    <n v="105"/>
    <n v="24.32"/>
    <n v="0.23161904761904761"/>
    <n v="1"/>
    <x v="0"/>
  </r>
  <r>
    <n v="1406"/>
    <n v="2023"/>
    <x v="4"/>
    <s v="2023-12-17"/>
    <x v="3"/>
    <x v="0"/>
    <x v="1"/>
    <s v="Low"/>
    <n v="192"/>
    <n v="66.599999999999994"/>
    <n v="0.34687499999999999"/>
    <n v="2"/>
    <x v="1"/>
  </r>
  <r>
    <n v="1407"/>
    <n v="2023"/>
    <x v="4"/>
    <s v="2023-12-02"/>
    <x v="3"/>
    <x v="0"/>
    <x v="9"/>
    <s v="High"/>
    <n v="710"/>
    <n v="203.54"/>
    <n v="0.28667605633802817"/>
    <n v="5"/>
    <x v="1"/>
  </r>
  <r>
    <n v="1408"/>
    <n v="2023"/>
    <x v="8"/>
    <s v="2023-06-13"/>
    <x v="2"/>
    <x v="1"/>
    <x v="7"/>
    <s v="Medium"/>
    <n v="396"/>
    <n v="138.33000000000001"/>
    <n v="0.34931818181818186"/>
    <n v="3"/>
    <x v="0"/>
  </r>
  <r>
    <n v="1409"/>
    <n v="2023"/>
    <x v="7"/>
    <s v="2023-01-19"/>
    <x v="2"/>
    <x v="2"/>
    <x v="13"/>
    <s v="High"/>
    <n v="5010"/>
    <n v="1365.77"/>
    <n v="0.27260878243512976"/>
    <n v="10"/>
    <x v="1"/>
  </r>
  <r>
    <n v="1410"/>
    <n v="2023"/>
    <x v="5"/>
    <s v="2023-07-03"/>
    <x v="2"/>
    <x v="0"/>
    <x v="1"/>
    <s v="High"/>
    <n v="1602"/>
    <n v="507.28"/>
    <n v="0.3166541822721598"/>
    <n v="9"/>
    <x v="0"/>
  </r>
  <r>
    <n v="1411"/>
    <n v="2023"/>
    <x v="11"/>
    <s v="2023-03-07"/>
    <x v="0"/>
    <x v="1"/>
    <x v="3"/>
    <s v="High"/>
    <n v="2270"/>
    <n v="582.70000000000005"/>
    <n v="0.25669603524229079"/>
    <n v="5"/>
    <x v="1"/>
  </r>
  <r>
    <n v="1412"/>
    <n v="2023"/>
    <x v="8"/>
    <s v="2023-06-07"/>
    <x v="1"/>
    <x v="1"/>
    <x v="3"/>
    <s v="High"/>
    <n v="5306"/>
    <n v="1263.3800000000001"/>
    <n v="0.23810403316999626"/>
    <n v="7"/>
    <x v="0"/>
  </r>
  <r>
    <n v="1413"/>
    <n v="2023"/>
    <x v="2"/>
    <s v="2023-11-21"/>
    <x v="2"/>
    <x v="2"/>
    <x v="4"/>
    <s v="High"/>
    <n v="6330"/>
    <n v="1361.77"/>
    <n v="0.21512954186413902"/>
    <n v="10"/>
    <x v="2"/>
  </r>
  <r>
    <n v="1414"/>
    <n v="2023"/>
    <x v="7"/>
    <s v="2023-01-28"/>
    <x v="3"/>
    <x v="0"/>
    <x v="12"/>
    <s v="Medium"/>
    <n v="291"/>
    <n v="55.43"/>
    <n v="0.1904810996563574"/>
    <n v="3"/>
    <x v="1"/>
  </r>
  <r>
    <n v="1415"/>
    <n v="2023"/>
    <x v="10"/>
    <s v="2023-04-03"/>
    <x v="1"/>
    <x v="0"/>
    <x v="12"/>
    <s v="Medium"/>
    <n v="342"/>
    <n v="118.47"/>
    <n v="0.34640350877192982"/>
    <n v="2"/>
    <x v="1"/>
  </r>
  <r>
    <n v="1416"/>
    <n v="2023"/>
    <x v="0"/>
    <s v="2023-05-21"/>
    <x v="0"/>
    <x v="2"/>
    <x v="4"/>
    <s v="High"/>
    <n v="2960"/>
    <n v="628.07000000000005"/>
    <n v="0.21218581081081084"/>
    <n v="4"/>
    <x v="1"/>
  </r>
  <r>
    <n v="1417"/>
    <n v="2023"/>
    <x v="1"/>
    <s v="2023-08-08"/>
    <x v="2"/>
    <x v="1"/>
    <x v="2"/>
    <s v="High"/>
    <n v="6706"/>
    <n v="544.92999999999995"/>
    <n v="8.1260065612883972E-2"/>
    <n v="7"/>
    <x v="0"/>
  </r>
  <r>
    <n v="1418"/>
    <n v="2023"/>
    <x v="8"/>
    <s v="2023-06-14"/>
    <x v="3"/>
    <x v="0"/>
    <x v="5"/>
    <s v="High"/>
    <n v="1647"/>
    <n v="133.59"/>
    <n v="8.111111111111112E-2"/>
    <n v="9"/>
    <x v="2"/>
  </r>
  <r>
    <n v="1419"/>
    <n v="2023"/>
    <x v="8"/>
    <s v="2023-06-26"/>
    <x v="1"/>
    <x v="0"/>
    <x v="5"/>
    <s v="Medium"/>
    <n v="540"/>
    <n v="116.59"/>
    <n v="0.21590740740740741"/>
    <n v="5"/>
    <x v="0"/>
  </r>
  <r>
    <n v="1420"/>
    <n v="2023"/>
    <x v="8"/>
    <s v="2023-06-02"/>
    <x v="0"/>
    <x v="2"/>
    <x v="6"/>
    <s v="High"/>
    <n v="4475"/>
    <n v="1078.56"/>
    <n v="0.24101899441340782"/>
    <n v="5"/>
    <x v="2"/>
  </r>
  <r>
    <n v="1421"/>
    <n v="2023"/>
    <x v="9"/>
    <s v="2023-09-08"/>
    <x v="1"/>
    <x v="2"/>
    <x v="13"/>
    <s v="High"/>
    <n v="1908"/>
    <n v="162.49"/>
    <n v="8.5162473794549276E-2"/>
    <n v="6"/>
    <x v="1"/>
  </r>
  <r>
    <n v="1422"/>
    <n v="2023"/>
    <x v="7"/>
    <s v="2023-01-12"/>
    <x v="1"/>
    <x v="1"/>
    <x v="2"/>
    <s v="High"/>
    <n v="11130"/>
    <n v="1992.04"/>
    <n v="0.17897933513027853"/>
    <n v="10"/>
    <x v="0"/>
  </r>
  <r>
    <n v="1423"/>
    <n v="2023"/>
    <x v="0"/>
    <s v="2023-05-11"/>
    <x v="2"/>
    <x v="0"/>
    <x v="0"/>
    <s v="Low"/>
    <n v="198"/>
    <n v="51.23"/>
    <n v="0.25873737373737371"/>
    <n v="9"/>
    <x v="0"/>
  </r>
  <r>
    <n v="1424"/>
    <n v="2023"/>
    <x v="11"/>
    <s v="2023-03-01"/>
    <x v="0"/>
    <x v="0"/>
    <x v="0"/>
    <s v="Medium"/>
    <n v="287"/>
    <n v="65.37"/>
    <n v="0.2277700348432056"/>
    <n v="7"/>
    <x v="0"/>
  </r>
  <r>
    <n v="1425"/>
    <n v="2023"/>
    <x v="4"/>
    <s v="2023-12-18"/>
    <x v="1"/>
    <x v="2"/>
    <x v="6"/>
    <s v="Medium"/>
    <n v="580"/>
    <n v="62.21"/>
    <n v="0.10725862068965518"/>
    <n v="1"/>
    <x v="0"/>
  </r>
  <r>
    <n v="1426"/>
    <n v="2023"/>
    <x v="3"/>
    <s v="2023-02-23"/>
    <x v="1"/>
    <x v="0"/>
    <x v="9"/>
    <s v="Medium"/>
    <n v="351"/>
    <n v="102.45"/>
    <n v="0.2918803418803419"/>
    <n v="9"/>
    <x v="1"/>
  </r>
  <r>
    <n v="1427"/>
    <n v="2023"/>
    <x v="9"/>
    <s v="2023-09-25"/>
    <x v="1"/>
    <x v="2"/>
    <x v="6"/>
    <s v="High"/>
    <n v="3480"/>
    <n v="555.91"/>
    <n v="0.1597442528735632"/>
    <n v="4"/>
    <x v="1"/>
  </r>
  <r>
    <n v="1428"/>
    <n v="2023"/>
    <x v="4"/>
    <s v="2023-12-19"/>
    <x v="2"/>
    <x v="1"/>
    <x v="7"/>
    <s v="High"/>
    <n v="6056"/>
    <n v="505.33"/>
    <n v="8.3442866578599728E-2"/>
    <n v="8"/>
    <x v="2"/>
  </r>
  <r>
    <n v="1429"/>
    <n v="2023"/>
    <x v="3"/>
    <s v="2023-02-16"/>
    <x v="2"/>
    <x v="1"/>
    <x v="8"/>
    <s v="High"/>
    <n v="2097"/>
    <n v="225.11"/>
    <n v="0.10734859322842157"/>
    <n v="9"/>
    <x v="2"/>
  </r>
  <r>
    <n v="1430"/>
    <n v="2023"/>
    <x v="0"/>
    <s v="2023-05-16"/>
    <x v="2"/>
    <x v="2"/>
    <x v="6"/>
    <s v="High"/>
    <n v="2016"/>
    <n v="637.09"/>
    <n v="0.31601686507936511"/>
    <n v="8"/>
    <x v="1"/>
  </r>
  <r>
    <n v="1431"/>
    <n v="2023"/>
    <x v="11"/>
    <s v="2023-03-01"/>
    <x v="3"/>
    <x v="2"/>
    <x v="11"/>
    <s v="Medium"/>
    <n v="318"/>
    <n v="82.4"/>
    <n v="0.25911949685534591"/>
    <n v="2"/>
    <x v="1"/>
  </r>
  <r>
    <n v="1432"/>
    <n v="2023"/>
    <x v="2"/>
    <s v="2023-11-15"/>
    <x v="3"/>
    <x v="1"/>
    <x v="3"/>
    <s v="High"/>
    <n v="1350"/>
    <n v="174.66"/>
    <n v="0.12937777777777779"/>
    <n v="5"/>
    <x v="1"/>
  </r>
  <r>
    <n v="1433"/>
    <n v="2023"/>
    <x v="5"/>
    <s v="2023-07-17"/>
    <x v="2"/>
    <x v="2"/>
    <x v="13"/>
    <s v="High"/>
    <n v="6512"/>
    <n v="719.74"/>
    <n v="0.11052518427518428"/>
    <n v="8"/>
    <x v="1"/>
  </r>
  <r>
    <n v="1434"/>
    <n v="2023"/>
    <x v="1"/>
    <s v="2023-08-02"/>
    <x v="1"/>
    <x v="0"/>
    <x v="0"/>
    <s v="High"/>
    <n v="1830"/>
    <n v="362.9"/>
    <n v="0.19830601092896175"/>
    <n v="10"/>
    <x v="2"/>
  </r>
  <r>
    <n v="1435"/>
    <n v="2023"/>
    <x v="7"/>
    <s v="2023-01-15"/>
    <x v="3"/>
    <x v="0"/>
    <x v="12"/>
    <s v="Low"/>
    <n v="114"/>
    <n v="36.44"/>
    <n v="0.31964912280701752"/>
    <n v="3"/>
    <x v="0"/>
  </r>
  <r>
    <n v="1436"/>
    <n v="2023"/>
    <x v="4"/>
    <s v="2023-12-02"/>
    <x v="0"/>
    <x v="2"/>
    <x v="4"/>
    <s v="High"/>
    <n v="5226"/>
    <n v="1158.6099999999999"/>
    <n v="0.22170110983543817"/>
    <n v="6"/>
    <x v="1"/>
  </r>
  <r>
    <n v="1437"/>
    <n v="2023"/>
    <x v="8"/>
    <s v="2023-06-23"/>
    <x v="1"/>
    <x v="0"/>
    <x v="1"/>
    <s v="High"/>
    <n v="1701"/>
    <n v="420.02"/>
    <n v="0.24692533803644914"/>
    <n v="9"/>
    <x v="0"/>
  </r>
  <r>
    <n v="1438"/>
    <n v="2023"/>
    <x v="4"/>
    <s v="2023-12-06"/>
    <x v="2"/>
    <x v="2"/>
    <x v="6"/>
    <s v="High"/>
    <n v="5047"/>
    <n v="478.12"/>
    <n v="9.4733505052506439E-2"/>
    <n v="7"/>
    <x v="1"/>
  </r>
  <r>
    <n v="1439"/>
    <n v="2023"/>
    <x v="11"/>
    <s v="2023-03-26"/>
    <x v="2"/>
    <x v="0"/>
    <x v="5"/>
    <s v="Low"/>
    <n v="142"/>
    <n v="24.05"/>
    <n v="0.16936619718309859"/>
    <n v="2"/>
    <x v="1"/>
  </r>
  <r>
    <n v="1440"/>
    <n v="2023"/>
    <x v="2"/>
    <s v="2023-11-26"/>
    <x v="1"/>
    <x v="2"/>
    <x v="4"/>
    <s v="High"/>
    <n v="2730"/>
    <n v="556.79999999999995"/>
    <n v="0.20395604395604394"/>
    <n v="7"/>
    <x v="0"/>
  </r>
  <r>
    <n v="1441"/>
    <n v="2023"/>
    <x v="1"/>
    <s v="2023-08-17"/>
    <x v="0"/>
    <x v="0"/>
    <x v="12"/>
    <s v="High"/>
    <n v="1200"/>
    <n v="307.69"/>
    <n v="0.25640833333333335"/>
    <n v="6"/>
    <x v="1"/>
  </r>
  <r>
    <n v="1442"/>
    <n v="2023"/>
    <x v="6"/>
    <s v="2023-10-13"/>
    <x v="2"/>
    <x v="1"/>
    <x v="10"/>
    <s v="High"/>
    <n v="720"/>
    <n v="244.84"/>
    <n v="0.34005555555555556"/>
    <n v="9"/>
    <x v="2"/>
  </r>
  <r>
    <n v="1443"/>
    <n v="2023"/>
    <x v="4"/>
    <s v="2023-12-10"/>
    <x v="1"/>
    <x v="0"/>
    <x v="9"/>
    <s v="Low"/>
    <n v="184"/>
    <n v="55.29"/>
    <n v="0.30048913043478259"/>
    <n v="8"/>
    <x v="0"/>
  </r>
  <r>
    <n v="1444"/>
    <n v="2023"/>
    <x v="4"/>
    <s v="2023-12-03"/>
    <x v="2"/>
    <x v="2"/>
    <x v="11"/>
    <s v="High"/>
    <n v="1596"/>
    <n v="454.89"/>
    <n v="0.28501879699248117"/>
    <n v="6"/>
    <x v="0"/>
  </r>
  <r>
    <n v="1445"/>
    <n v="2023"/>
    <x v="2"/>
    <s v="2023-11-21"/>
    <x v="3"/>
    <x v="1"/>
    <x v="8"/>
    <s v="High"/>
    <n v="5745"/>
    <n v="624.52"/>
    <n v="0.10870670147954743"/>
    <n v="5"/>
    <x v="1"/>
  </r>
  <r>
    <n v="1446"/>
    <n v="2023"/>
    <x v="5"/>
    <s v="2023-07-29"/>
    <x v="1"/>
    <x v="1"/>
    <x v="10"/>
    <s v="High"/>
    <n v="1200"/>
    <n v="156.76"/>
    <n v="0.13063333333333332"/>
    <n v="2"/>
    <x v="0"/>
  </r>
  <r>
    <n v="1447"/>
    <n v="2023"/>
    <x v="8"/>
    <s v="2023-06-23"/>
    <x v="2"/>
    <x v="2"/>
    <x v="6"/>
    <s v="Medium"/>
    <n v="394"/>
    <n v="120.61"/>
    <n v="0.30611675126903554"/>
    <n v="2"/>
    <x v="2"/>
  </r>
  <r>
    <n v="1448"/>
    <n v="2023"/>
    <x v="4"/>
    <s v="2023-12-04"/>
    <x v="2"/>
    <x v="0"/>
    <x v="0"/>
    <s v="High"/>
    <n v="1370"/>
    <n v="111.2"/>
    <n v="8.1167883211678837E-2"/>
    <n v="10"/>
    <x v="1"/>
  </r>
  <r>
    <n v="1449"/>
    <n v="2023"/>
    <x v="9"/>
    <s v="2023-09-05"/>
    <x v="2"/>
    <x v="0"/>
    <x v="0"/>
    <s v="High"/>
    <n v="1422"/>
    <n v="180.43"/>
    <n v="0.12688466947960619"/>
    <n v="9"/>
    <x v="0"/>
  </r>
  <r>
    <n v="1450"/>
    <n v="2023"/>
    <x v="2"/>
    <s v="2023-11-04"/>
    <x v="2"/>
    <x v="1"/>
    <x v="8"/>
    <s v="High"/>
    <n v="7390"/>
    <n v="1426.56"/>
    <n v="0.19303924221921515"/>
    <n v="10"/>
    <x v="0"/>
  </r>
  <r>
    <n v="1451"/>
    <n v="2023"/>
    <x v="8"/>
    <s v="2023-06-25"/>
    <x v="3"/>
    <x v="0"/>
    <x v="5"/>
    <s v="Medium"/>
    <n v="225"/>
    <n v="43.07"/>
    <n v="0.19142222222222222"/>
    <n v="5"/>
    <x v="1"/>
  </r>
  <r>
    <n v="1452"/>
    <n v="2023"/>
    <x v="6"/>
    <s v="2023-10-08"/>
    <x v="3"/>
    <x v="0"/>
    <x v="1"/>
    <s v="Medium"/>
    <n v="378"/>
    <n v="93.94"/>
    <n v="0.2485185185185185"/>
    <n v="6"/>
    <x v="0"/>
  </r>
  <r>
    <n v="1453"/>
    <n v="2023"/>
    <x v="2"/>
    <s v="2023-11-29"/>
    <x v="1"/>
    <x v="2"/>
    <x v="11"/>
    <s v="High"/>
    <n v="2115"/>
    <n v="532.89"/>
    <n v="0.25195744680851062"/>
    <n v="3"/>
    <x v="0"/>
  </r>
  <r>
    <n v="1454"/>
    <n v="2023"/>
    <x v="9"/>
    <s v="2023-09-03"/>
    <x v="3"/>
    <x v="0"/>
    <x v="0"/>
    <s v="High"/>
    <n v="1460"/>
    <n v="229.51"/>
    <n v="0.15719863013698629"/>
    <n v="10"/>
    <x v="0"/>
  </r>
  <r>
    <n v="1455"/>
    <n v="2023"/>
    <x v="5"/>
    <s v="2023-07-15"/>
    <x v="0"/>
    <x v="2"/>
    <x v="4"/>
    <s v="High"/>
    <n v="2508"/>
    <n v="336.01"/>
    <n v="0.13397527910685805"/>
    <n v="3"/>
    <x v="2"/>
  </r>
  <r>
    <n v="1456"/>
    <n v="2023"/>
    <x v="3"/>
    <s v="2023-02-01"/>
    <x v="3"/>
    <x v="1"/>
    <x v="3"/>
    <s v="High"/>
    <n v="2485"/>
    <n v="439.46"/>
    <n v="0.17684507042253519"/>
    <n v="5"/>
    <x v="2"/>
  </r>
  <r>
    <n v="1457"/>
    <n v="2023"/>
    <x v="2"/>
    <s v="2023-11-28"/>
    <x v="1"/>
    <x v="2"/>
    <x v="4"/>
    <s v="High"/>
    <n v="3537"/>
    <n v="1031.97"/>
    <n v="0.29176420695504668"/>
    <n v="9"/>
    <x v="0"/>
  </r>
  <r>
    <n v="1458"/>
    <n v="2023"/>
    <x v="5"/>
    <s v="2023-07-18"/>
    <x v="0"/>
    <x v="0"/>
    <x v="9"/>
    <s v="Low"/>
    <n v="161"/>
    <n v="13.44"/>
    <n v="8.347826086956521E-2"/>
    <n v="7"/>
    <x v="1"/>
  </r>
  <r>
    <n v="1459"/>
    <n v="2023"/>
    <x v="2"/>
    <s v="2023-11-21"/>
    <x v="2"/>
    <x v="2"/>
    <x v="6"/>
    <s v="High"/>
    <n v="4602"/>
    <n v="1332.55"/>
    <n v="0.28955888744024338"/>
    <n v="6"/>
    <x v="2"/>
  </r>
  <r>
    <n v="1460"/>
    <n v="2023"/>
    <x v="4"/>
    <s v="2023-12-16"/>
    <x v="2"/>
    <x v="1"/>
    <x v="3"/>
    <s v="High"/>
    <n v="924"/>
    <n v="202.11"/>
    <n v="0.21873376623376625"/>
    <n v="2"/>
    <x v="2"/>
  </r>
  <r>
    <n v="1461"/>
    <n v="2023"/>
    <x v="6"/>
    <s v="2023-10-12"/>
    <x v="2"/>
    <x v="2"/>
    <x v="4"/>
    <s v="High"/>
    <n v="1570"/>
    <n v="484.23"/>
    <n v="0.30842675159235672"/>
    <n v="5"/>
    <x v="1"/>
  </r>
  <r>
    <n v="1462"/>
    <n v="2023"/>
    <x v="11"/>
    <s v="2023-03-21"/>
    <x v="2"/>
    <x v="1"/>
    <x v="3"/>
    <s v="Medium"/>
    <n v="394"/>
    <n v="36.93"/>
    <n v="9.3730964467005073E-2"/>
    <n v="1"/>
    <x v="0"/>
  </r>
  <r>
    <n v="1463"/>
    <n v="2023"/>
    <x v="6"/>
    <s v="2023-10-21"/>
    <x v="3"/>
    <x v="0"/>
    <x v="1"/>
    <s v="High"/>
    <n v="1719"/>
    <n v="285.05"/>
    <n v="0.16582315299592787"/>
    <n v="9"/>
    <x v="1"/>
  </r>
  <r>
    <n v="1464"/>
    <n v="2023"/>
    <x v="11"/>
    <s v="2023-03-23"/>
    <x v="0"/>
    <x v="1"/>
    <x v="2"/>
    <s v="High"/>
    <n v="8344"/>
    <n v="874.66"/>
    <n v="0.10482502396931927"/>
    <n v="7"/>
    <x v="0"/>
  </r>
  <r>
    <n v="1465"/>
    <n v="2023"/>
    <x v="5"/>
    <s v="2023-07-04"/>
    <x v="3"/>
    <x v="1"/>
    <x v="2"/>
    <s v="High"/>
    <n v="2635"/>
    <n v="548.64"/>
    <n v="0.20821252371916507"/>
    <n v="5"/>
    <x v="1"/>
  </r>
  <r>
    <n v="1466"/>
    <n v="2023"/>
    <x v="8"/>
    <s v="2023-06-27"/>
    <x v="0"/>
    <x v="0"/>
    <x v="0"/>
    <s v="High"/>
    <n v="1336"/>
    <n v="438.24"/>
    <n v="0.32802395209580837"/>
    <n v="8"/>
    <x v="0"/>
  </r>
  <r>
    <n v="1467"/>
    <n v="2023"/>
    <x v="3"/>
    <s v="2023-02-28"/>
    <x v="3"/>
    <x v="1"/>
    <x v="8"/>
    <s v="High"/>
    <n v="4235"/>
    <n v="662.2"/>
    <n v="0.15636363636363637"/>
    <n v="7"/>
    <x v="1"/>
  </r>
  <r>
    <n v="1468"/>
    <n v="2023"/>
    <x v="7"/>
    <s v="2023-01-23"/>
    <x v="2"/>
    <x v="0"/>
    <x v="9"/>
    <s v="High"/>
    <n v="705"/>
    <n v="72.069999999999993"/>
    <n v="0.10222695035460992"/>
    <n v="5"/>
    <x v="1"/>
  </r>
  <r>
    <n v="1469"/>
    <n v="2023"/>
    <x v="3"/>
    <s v="2023-02-03"/>
    <x v="0"/>
    <x v="1"/>
    <x v="2"/>
    <s v="High"/>
    <n v="2064"/>
    <n v="630.82000000000005"/>
    <n v="0.30562984496124035"/>
    <n v="4"/>
    <x v="0"/>
  </r>
  <r>
    <n v="1470"/>
    <n v="2023"/>
    <x v="3"/>
    <s v="2023-02-06"/>
    <x v="2"/>
    <x v="1"/>
    <x v="7"/>
    <s v="Medium"/>
    <n v="384"/>
    <n v="65.11"/>
    <n v="0.16955729166666667"/>
    <n v="3"/>
    <x v="0"/>
  </r>
  <r>
    <n v="1471"/>
    <n v="2023"/>
    <x v="0"/>
    <s v="2023-05-09"/>
    <x v="0"/>
    <x v="1"/>
    <x v="8"/>
    <s v="High"/>
    <n v="2016"/>
    <n v="657.15"/>
    <n v="0.32596726190476188"/>
    <n v="9"/>
    <x v="2"/>
  </r>
  <r>
    <n v="1472"/>
    <n v="2023"/>
    <x v="5"/>
    <s v="2023-07-27"/>
    <x v="2"/>
    <x v="2"/>
    <x v="13"/>
    <s v="High"/>
    <n v="1169"/>
    <n v="306.02999999999997"/>
    <n v="0.26178785286569717"/>
    <n v="7"/>
    <x v="0"/>
  </r>
  <r>
    <n v="1473"/>
    <n v="2023"/>
    <x v="6"/>
    <s v="2023-10-27"/>
    <x v="0"/>
    <x v="0"/>
    <x v="0"/>
    <s v="Low"/>
    <n v="138"/>
    <n v="14.99"/>
    <n v="0.1086231884057971"/>
    <n v="1"/>
    <x v="0"/>
  </r>
  <r>
    <n v="1474"/>
    <n v="2023"/>
    <x v="1"/>
    <s v="2023-08-13"/>
    <x v="0"/>
    <x v="0"/>
    <x v="9"/>
    <s v="Low"/>
    <n v="119"/>
    <n v="24.75"/>
    <n v="0.20798319327731093"/>
    <n v="7"/>
    <x v="1"/>
  </r>
  <r>
    <n v="1475"/>
    <n v="2023"/>
    <x v="5"/>
    <s v="2023-07-20"/>
    <x v="1"/>
    <x v="0"/>
    <x v="5"/>
    <s v="Medium"/>
    <n v="414"/>
    <n v="66.44"/>
    <n v="0.16048309178743961"/>
    <n v="9"/>
    <x v="0"/>
  </r>
  <r>
    <n v="1476"/>
    <n v="2023"/>
    <x v="6"/>
    <s v="2023-10-12"/>
    <x v="0"/>
    <x v="0"/>
    <x v="9"/>
    <s v="Low"/>
    <n v="33"/>
    <n v="7.74"/>
    <n v="0.23454545454545456"/>
    <n v="3"/>
    <x v="0"/>
  </r>
  <r>
    <n v="1477"/>
    <n v="2023"/>
    <x v="8"/>
    <s v="2023-06-26"/>
    <x v="3"/>
    <x v="2"/>
    <x v="4"/>
    <s v="High"/>
    <n v="3244"/>
    <n v="384.29"/>
    <n v="0.11846177558569668"/>
    <n v="4"/>
    <x v="2"/>
  </r>
  <r>
    <n v="1478"/>
    <n v="2023"/>
    <x v="3"/>
    <s v="2023-02-28"/>
    <x v="3"/>
    <x v="1"/>
    <x v="2"/>
    <s v="Medium"/>
    <n v="573"/>
    <n v="145.58000000000001"/>
    <n v="0.25406631762652709"/>
    <n v="3"/>
    <x v="2"/>
  </r>
  <r>
    <n v="1479"/>
    <n v="2023"/>
    <x v="3"/>
    <s v="2023-02-20"/>
    <x v="0"/>
    <x v="1"/>
    <x v="3"/>
    <s v="High"/>
    <n v="4308"/>
    <n v="493.77"/>
    <n v="0.11461699164345404"/>
    <n v="4"/>
    <x v="1"/>
  </r>
  <r>
    <n v="1480"/>
    <n v="2023"/>
    <x v="2"/>
    <s v="2023-11-14"/>
    <x v="0"/>
    <x v="0"/>
    <x v="5"/>
    <s v="Medium"/>
    <n v="268"/>
    <n v="54.05"/>
    <n v="0.20167910447761192"/>
    <n v="2"/>
    <x v="1"/>
  </r>
  <r>
    <n v="1481"/>
    <n v="2023"/>
    <x v="6"/>
    <s v="2023-10-18"/>
    <x v="1"/>
    <x v="0"/>
    <x v="9"/>
    <s v="Medium"/>
    <n v="318"/>
    <n v="25.85"/>
    <n v="8.1289308176100639E-2"/>
    <n v="6"/>
    <x v="0"/>
  </r>
  <r>
    <n v="1482"/>
    <n v="2023"/>
    <x v="5"/>
    <s v="2023-07-04"/>
    <x v="2"/>
    <x v="1"/>
    <x v="2"/>
    <s v="High"/>
    <n v="2277"/>
    <n v="455.96"/>
    <n v="0.20024593763724197"/>
    <n v="3"/>
    <x v="1"/>
  </r>
  <r>
    <n v="1483"/>
    <n v="2023"/>
    <x v="2"/>
    <s v="2023-11-27"/>
    <x v="0"/>
    <x v="2"/>
    <x v="13"/>
    <s v="High"/>
    <n v="4370"/>
    <n v="1401.24"/>
    <n v="0.32064988558352403"/>
    <n v="10"/>
    <x v="2"/>
  </r>
  <r>
    <n v="1484"/>
    <n v="2023"/>
    <x v="3"/>
    <s v="2023-02-08"/>
    <x v="0"/>
    <x v="1"/>
    <x v="3"/>
    <s v="High"/>
    <n v="1118"/>
    <n v="334.74"/>
    <n v="0.29940966010733455"/>
    <n v="1"/>
    <x v="0"/>
  </r>
  <r>
    <n v="1485"/>
    <n v="2023"/>
    <x v="6"/>
    <s v="2023-10-10"/>
    <x v="1"/>
    <x v="0"/>
    <x v="12"/>
    <s v="High"/>
    <n v="650"/>
    <n v="166.76"/>
    <n v="0.25655384615384613"/>
    <n v="5"/>
    <x v="2"/>
  </r>
  <r>
    <n v="1486"/>
    <n v="2023"/>
    <x v="6"/>
    <s v="2023-10-29"/>
    <x v="2"/>
    <x v="1"/>
    <x v="3"/>
    <s v="High"/>
    <n v="1770"/>
    <n v="385.53"/>
    <n v="0.21781355932203389"/>
    <n v="5"/>
    <x v="2"/>
  </r>
  <r>
    <n v="1487"/>
    <n v="2023"/>
    <x v="0"/>
    <s v="2023-05-03"/>
    <x v="0"/>
    <x v="2"/>
    <x v="11"/>
    <s v="High"/>
    <n v="6760"/>
    <n v="1355.24"/>
    <n v="0.20047928994082839"/>
    <n v="10"/>
    <x v="0"/>
  </r>
  <r>
    <n v="1488"/>
    <n v="2023"/>
    <x v="9"/>
    <s v="2023-09-05"/>
    <x v="1"/>
    <x v="1"/>
    <x v="7"/>
    <s v="High"/>
    <n v="972"/>
    <n v="138.58000000000001"/>
    <n v="0.14257201646090537"/>
    <n v="6"/>
    <x v="0"/>
  </r>
  <r>
    <n v="1489"/>
    <n v="2023"/>
    <x v="4"/>
    <s v="2023-12-09"/>
    <x v="1"/>
    <x v="2"/>
    <x v="11"/>
    <s v="High"/>
    <n v="2076"/>
    <n v="429.34"/>
    <n v="0.20681117533718688"/>
    <n v="4"/>
    <x v="2"/>
  </r>
  <r>
    <n v="1490"/>
    <n v="2023"/>
    <x v="8"/>
    <s v="2023-06-15"/>
    <x v="0"/>
    <x v="2"/>
    <x v="4"/>
    <s v="High"/>
    <n v="1596"/>
    <n v="487.44"/>
    <n v="0.30541353383458647"/>
    <n v="2"/>
    <x v="0"/>
  </r>
  <r>
    <n v="1491"/>
    <n v="2023"/>
    <x v="5"/>
    <s v="2023-07-13"/>
    <x v="2"/>
    <x v="2"/>
    <x v="6"/>
    <s v="High"/>
    <n v="4074"/>
    <n v="739.87"/>
    <n v="0.18160775650466371"/>
    <n v="6"/>
    <x v="0"/>
  </r>
  <r>
    <n v="1492"/>
    <n v="2023"/>
    <x v="8"/>
    <s v="2023-06-26"/>
    <x v="2"/>
    <x v="1"/>
    <x v="7"/>
    <s v="High"/>
    <n v="8536"/>
    <n v="1839.47"/>
    <n v="0.21549554826616682"/>
    <n v="8"/>
    <x v="1"/>
  </r>
  <r>
    <n v="1493"/>
    <n v="2023"/>
    <x v="3"/>
    <s v="2023-02-09"/>
    <x v="1"/>
    <x v="1"/>
    <x v="10"/>
    <s v="High"/>
    <n v="5895"/>
    <n v="769.09"/>
    <n v="0.13046480067854113"/>
    <n v="9"/>
    <x v="2"/>
  </r>
  <r>
    <n v="1494"/>
    <n v="2023"/>
    <x v="8"/>
    <s v="2023-06-19"/>
    <x v="1"/>
    <x v="2"/>
    <x v="4"/>
    <s v="High"/>
    <n v="1682"/>
    <n v="352.1"/>
    <n v="0.20933412604042809"/>
    <n v="2"/>
    <x v="1"/>
  </r>
  <r>
    <n v="1495"/>
    <n v="2023"/>
    <x v="0"/>
    <s v="2023-05-05"/>
    <x v="2"/>
    <x v="0"/>
    <x v="5"/>
    <s v="Low"/>
    <n v="161"/>
    <n v="19.88"/>
    <n v="0.12347826086956522"/>
    <n v="1"/>
    <x v="2"/>
  </r>
  <r>
    <n v="1496"/>
    <n v="2023"/>
    <x v="11"/>
    <s v="2023-03-17"/>
    <x v="0"/>
    <x v="0"/>
    <x v="1"/>
    <s v="Low"/>
    <n v="56"/>
    <n v="12.29"/>
    <n v="0.2194642857142857"/>
    <n v="1"/>
    <x v="0"/>
  </r>
  <r>
    <n v="1497"/>
    <n v="2023"/>
    <x v="10"/>
    <s v="2023-04-21"/>
    <x v="3"/>
    <x v="2"/>
    <x v="4"/>
    <s v="High"/>
    <n v="5144"/>
    <n v="716.19"/>
    <n v="0.13922822706065319"/>
    <n v="8"/>
    <x v="2"/>
  </r>
  <r>
    <n v="1498"/>
    <n v="2023"/>
    <x v="4"/>
    <s v="2023-12-04"/>
    <x v="1"/>
    <x v="2"/>
    <x v="6"/>
    <s v="High"/>
    <n v="2889"/>
    <n v="765.9"/>
    <n v="0.26510903426791277"/>
    <n v="9"/>
    <x v="0"/>
  </r>
  <r>
    <n v="1499"/>
    <n v="2023"/>
    <x v="5"/>
    <s v="2023-07-17"/>
    <x v="1"/>
    <x v="2"/>
    <x v="4"/>
    <s v="Medium"/>
    <n v="498"/>
    <n v="110.12"/>
    <n v="0.22112449799196787"/>
    <n v="3"/>
    <x v="1"/>
  </r>
  <r>
    <n v="1500"/>
    <n v="2023"/>
    <x v="3"/>
    <s v="2023-02-19"/>
    <x v="1"/>
    <x v="0"/>
    <x v="12"/>
    <s v="Medium"/>
    <n v="489"/>
    <n v="44.27"/>
    <n v="9.0531697341513298E-2"/>
    <n v="3"/>
    <x v="0"/>
  </r>
  <r>
    <n v="1501"/>
    <n v="2023"/>
    <x v="9"/>
    <s v="2023-09-04"/>
    <x v="0"/>
    <x v="0"/>
    <x v="1"/>
    <s v="Medium"/>
    <n v="549"/>
    <n v="140.16"/>
    <n v="0.25530054644808742"/>
    <n v="3"/>
    <x v="2"/>
  </r>
  <r>
    <n v="1502"/>
    <n v="2023"/>
    <x v="4"/>
    <s v="2023-12-24"/>
    <x v="3"/>
    <x v="0"/>
    <x v="12"/>
    <s v="High"/>
    <n v="1197"/>
    <n v="350.94"/>
    <n v="0.29318295739348371"/>
    <n v="9"/>
    <x v="2"/>
  </r>
  <r>
    <n v="1503"/>
    <n v="2023"/>
    <x v="11"/>
    <s v="2023-03-10"/>
    <x v="0"/>
    <x v="2"/>
    <x v="11"/>
    <s v="High"/>
    <n v="1940"/>
    <n v="303.58"/>
    <n v="0.15648453608247423"/>
    <n v="5"/>
    <x v="1"/>
  </r>
  <r>
    <n v="1504"/>
    <n v="2023"/>
    <x v="7"/>
    <s v="2023-01-03"/>
    <x v="3"/>
    <x v="0"/>
    <x v="12"/>
    <s v="Low"/>
    <n v="143"/>
    <n v="11.72"/>
    <n v="8.1958041958041961E-2"/>
    <n v="1"/>
    <x v="2"/>
  </r>
  <r>
    <n v="1505"/>
    <n v="2023"/>
    <x v="5"/>
    <s v="2023-07-05"/>
    <x v="3"/>
    <x v="0"/>
    <x v="5"/>
    <s v="Medium"/>
    <n v="352"/>
    <n v="83.79"/>
    <n v="0.23803977272727275"/>
    <n v="2"/>
    <x v="1"/>
  </r>
  <r>
    <n v="1506"/>
    <n v="2023"/>
    <x v="0"/>
    <s v="2023-05-22"/>
    <x v="3"/>
    <x v="2"/>
    <x v="13"/>
    <s v="High"/>
    <n v="4011"/>
    <n v="1169.7"/>
    <n v="0.29162303664921468"/>
    <n v="7"/>
    <x v="0"/>
  </r>
  <r>
    <n v="1507"/>
    <n v="2023"/>
    <x v="6"/>
    <s v="2023-10-12"/>
    <x v="3"/>
    <x v="2"/>
    <x v="6"/>
    <s v="High"/>
    <n v="3712"/>
    <n v="642.09"/>
    <n v="0.17297683189655172"/>
    <n v="8"/>
    <x v="0"/>
  </r>
  <r>
    <n v="1508"/>
    <n v="2023"/>
    <x v="11"/>
    <s v="2023-03-02"/>
    <x v="1"/>
    <x v="0"/>
    <x v="12"/>
    <s v="Medium"/>
    <n v="204"/>
    <n v="21.84"/>
    <n v="0.10705882352941176"/>
    <n v="4"/>
    <x v="0"/>
  </r>
  <r>
    <n v="1509"/>
    <n v="2023"/>
    <x v="2"/>
    <s v="2023-11-11"/>
    <x v="3"/>
    <x v="0"/>
    <x v="12"/>
    <s v="Low"/>
    <n v="172"/>
    <n v="14.01"/>
    <n v="8.1453488372093028E-2"/>
    <n v="1"/>
    <x v="0"/>
  </r>
  <r>
    <n v="1510"/>
    <n v="2023"/>
    <x v="1"/>
    <s v="2023-08-11"/>
    <x v="2"/>
    <x v="1"/>
    <x v="2"/>
    <s v="Medium"/>
    <n v="422"/>
    <n v="76.010000000000005"/>
    <n v="0.18011848341232228"/>
    <n v="2"/>
    <x v="0"/>
  </r>
  <r>
    <n v="1511"/>
    <n v="2023"/>
    <x v="2"/>
    <s v="2023-11-11"/>
    <x v="2"/>
    <x v="0"/>
    <x v="0"/>
    <s v="High"/>
    <n v="1458"/>
    <n v="139.26"/>
    <n v="9.5514403292181069E-2"/>
    <n v="9"/>
    <x v="1"/>
  </r>
  <r>
    <n v="1512"/>
    <n v="2023"/>
    <x v="10"/>
    <s v="2023-04-14"/>
    <x v="2"/>
    <x v="1"/>
    <x v="10"/>
    <s v="High"/>
    <n v="5985"/>
    <n v="1745.64"/>
    <n v="0.29166917293233086"/>
    <n v="9"/>
    <x v="2"/>
  </r>
  <r>
    <n v="1513"/>
    <n v="2023"/>
    <x v="11"/>
    <s v="2023-03-28"/>
    <x v="1"/>
    <x v="0"/>
    <x v="1"/>
    <s v="Low"/>
    <n v="177"/>
    <n v="14.17"/>
    <n v="8.0056497175141239E-2"/>
    <n v="1"/>
    <x v="0"/>
  </r>
  <r>
    <n v="1514"/>
    <n v="2023"/>
    <x v="8"/>
    <s v="2023-06-30"/>
    <x v="3"/>
    <x v="1"/>
    <x v="8"/>
    <s v="High"/>
    <n v="6370"/>
    <n v="1400.07"/>
    <n v="0.21979120879120878"/>
    <n v="7"/>
    <x v="1"/>
  </r>
  <r>
    <n v="1515"/>
    <n v="2023"/>
    <x v="0"/>
    <s v="2023-05-26"/>
    <x v="0"/>
    <x v="0"/>
    <x v="0"/>
    <s v="High"/>
    <n v="720"/>
    <n v="101.59"/>
    <n v="0.14109722222222223"/>
    <n v="9"/>
    <x v="0"/>
  </r>
  <r>
    <n v="1516"/>
    <n v="2023"/>
    <x v="7"/>
    <s v="2023-01-03"/>
    <x v="2"/>
    <x v="1"/>
    <x v="10"/>
    <s v="High"/>
    <n v="2190"/>
    <n v="238.15"/>
    <n v="0.10874429223744292"/>
    <n v="5"/>
    <x v="0"/>
  </r>
  <r>
    <n v="1517"/>
    <n v="2023"/>
    <x v="11"/>
    <s v="2023-03-01"/>
    <x v="3"/>
    <x v="1"/>
    <x v="7"/>
    <s v="High"/>
    <n v="5463"/>
    <n v="806"/>
    <n v="0.14753798279333699"/>
    <n v="9"/>
    <x v="1"/>
  </r>
  <r>
    <n v="1518"/>
    <n v="2023"/>
    <x v="8"/>
    <s v="2023-06-23"/>
    <x v="2"/>
    <x v="2"/>
    <x v="13"/>
    <s v="High"/>
    <n v="6000"/>
    <n v="1260.79"/>
    <n v="0.21013166666666666"/>
    <n v="8"/>
    <x v="2"/>
  </r>
  <r>
    <n v="1519"/>
    <n v="2023"/>
    <x v="10"/>
    <s v="2023-04-23"/>
    <x v="2"/>
    <x v="2"/>
    <x v="4"/>
    <s v="High"/>
    <n v="2288"/>
    <n v="502.12"/>
    <n v="0.21945804195804197"/>
    <n v="4"/>
    <x v="0"/>
  </r>
  <r>
    <n v="1520"/>
    <n v="2023"/>
    <x v="3"/>
    <s v="2023-02-17"/>
    <x v="1"/>
    <x v="1"/>
    <x v="3"/>
    <s v="High"/>
    <n v="5460"/>
    <n v="1809.86"/>
    <n v="0.33147619047619048"/>
    <n v="7"/>
    <x v="1"/>
  </r>
  <r>
    <n v="1521"/>
    <n v="2023"/>
    <x v="6"/>
    <s v="2023-10-21"/>
    <x v="3"/>
    <x v="2"/>
    <x v="11"/>
    <s v="High"/>
    <n v="4245"/>
    <n v="911.53"/>
    <n v="0.21473027090694935"/>
    <n v="5"/>
    <x v="2"/>
  </r>
  <r>
    <n v="1522"/>
    <n v="2023"/>
    <x v="10"/>
    <s v="2023-04-16"/>
    <x v="1"/>
    <x v="1"/>
    <x v="2"/>
    <s v="High"/>
    <n v="1980"/>
    <n v="348.73"/>
    <n v="0.17612626262626263"/>
    <n v="4"/>
    <x v="1"/>
  </r>
  <r>
    <n v="1523"/>
    <n v="2023"/>
    <x v="4"/>
    <s v="2023-12-06"/>
    <x v="0"/>
    <x v="1"/>
    <x v="8"/>
    <s v="High"/>
    <n v="744"/>
    <n v="229.87"/>
    <n v="0.30896505376344086"/>
    <n v="8"/>
    <x v="0"/>
  </r>
  <r>
    <n v="1524"/>
    <n v="2023"/>
    <x v="0"/>
    <s v="2023-05-21"/>
    <x v="2"/>
    <x v="2"/>
    <x v="11"/>
    <s v="High"/>
    <n v="5384"/>
    <n v="1009.11"/>
    <n v="0.18742756315007431"/>
    <n v="8"/>
    <x v="0"/>
  </r>
  <r>
    <n v="1525"/>
    <n v="2023"/>
    <x v="1"/>
    <s v="2023-08-05"/>
    <x v="0"/>
    <x v="0"/>
    <x v="5"/>
    <s v="High"/>
    <n v="1104"/>
    <n v="191.84"/>
    <n v="0.17376811594202898"/>
    <n v="8"/>
    <x v="0"/>
  </r>
  <r>
    <n v="1526"/>
    <n v="2023"/>
    <x v="4"/>
    <s v="2023-12-24"/>
    <x v="2"/>
    <x v="0"/>
    <x v="5"/>
    <s v="High"/>
    <n v="1674"/>
    <n v="137.72999999999999"/>
    <n v="8.2275985663082432E-2"/>
    <n v="9"/>
    <x v="2"/>
  </r>
  <r>
    <n v="1527"/>
    <n v="2023"/>
    <x v="3"/>
    <s v="2023-02-21"/>
    <x v="2"/>
    <x v="0"/>
    <x v="5"/>
    <s v="Medium"/>
    <n v="456"/>
    <n v="59.52"/>
    <n v="0.13052631578947368"/>
    <n v="6"/>
    <x v="0"/>
  </r>
  <r>
    <n v="1528"/>
    <n v="2023"/>
    <x v="2"/>
    <s v="2023-11-10"/>
    <x v="3"/>
    <x v="2"/>
    <x v="6"/>
    <s v="High"/>
    <n v="2028"/>
    <n v="394.37"/>
    <n v="0.19446252465483235"/>
    <n v="6"/>
    <x v="1"/>
  </r>
  <r>
    <n v="1529"/>
    <n v="2023"/>
    <x v="0"/>
    <s v="2023-05-24"/>
    <x v="3"/>
    <x v="2"/>
    <x v="11"/>
    <s v="High"/>
    <n v="5880"/>
    <n v="2025.09"/>
    <n v="0.34440306122448977"/>
    <n v="8"/>
    <x v="1"/>
  </r>
  <r>
    <n v="1530"/>
    <n v="2023"/>
    <x v="0"/>
    <s v="2023-05-19"/>
    <x v="0"/>
    <x v="0"/>
    <x v="5"/>
    <s v="Medium"/>
    <n v="240"/>
    <n v="28.65"/>
    <n v="0.119375"/>
    <n v="4"/>
    <x v="0"/>
  </r>
  <r>
    <n v="1531"/>
    <n v="2023"/>
    <x v="10"/>
    <s v="2023-04-01"/>
    <x v="2"/>
    <x v="0"/>
    <x v="5"/>
    <s v="High"/>
    <n v="1197"/>
    <n v="262.85000000000002"/>
    <n v="0.21959064327485381"/>
    <n v="7"/>
    <x v="2"/>
  </r>
  <r>
    <n v="1532"/>
    <n v="2023"/>
    <x v="0"/>
    <s v="2023-05-09"/>
    <x v="2"/>
    <x v="0"/>
    <x v="9"/>
    <s v="Medium"/>
    <n v="315"/>
    <n v="83.93"/>
    <n v="0.26644444444444448"/>
    <n v="9"/>
    <x v="1"/>
  </r>
  <r>
    <n v="1533"/>
    <n v="2023"/>
    <x v="2"/>
    <s v="2023-11-19"/>
    <x v="3"/>
    <x v="1"/>
    <x v="2"/>
    <s v="High"/>
    <n v="2002"/>
    <n v="355.27"/>
    <n v="0.17745754245754244"/>
    <n v="2"/>
    <x v="1"/>
  </r>
  <r>
    <n v="1534"/>
    <n v="2023"/>
    <x v="7"/>
    <s v="2023-01-11"/>
    <x v="3"/>
    <x v="0"/>
    <x v="1"/>
    <s v="High"/>
    <n v="1281"/>
    <n v="435.59"/>
    <n v="0.34003903200624508"/>
    <n v="7"/>
    <x v="1"/>
  </r>
  <r>
    <n v="1535"/>
    <n v="2023"/>
    <x v="5"/>
    <s v="2023-07-01"/>
    <x v="1"/>
    <x v="1"/>
    <x v="7"/>
    <s v="High"/>
    <n v="6750"/>
    <n v="1354.53"/>
    <n v="0.20067111111111111"/>
    <n v="6"/>
    <x v="1"/>
  </r>
  <r>
    <n v="1536"/>
    <n v="2023"/>
    <x v="2"/>
    <s v="2023-11-20"/>
    <x v="3"/>
    <x v="1"/>
    <x v="10"/>
    <s v="High"/>
    <n v="1269"/>
    <n v="246.05"/>
    <n v="0.19389282899921198"/>
    <n v="3"/>
    <x v="1"/>
  </r>
  <r>
    <n v="1537"/>
    <n v="2023"/>
    <x v="3"/>
    <s v="2023-02-10"/>
    <x v="2"/>
    <x v="0"/>
    <x v="1"/>
    <s v="Medium"/>
    <n v="270"/>
    <n v="44.7"/>
    <n v="0.16555555555555557"/>
    <n v="3"/>
    <x v="2"/>
  </r>
  <r>
    <n v="1538"/>
    <n v="2023"/>
    <x v="1"/>
    <s v="2023-08-16"/>
    <x v="2"/>
    <x v="2"/>
    <x v="11"/>
    <s v="High"/>
    <n v="3666"/>
    <n v="458.89"/>
    <n v="0.12517457719585379"/>
    <n v="6"/>
    <x v="1"/>
  </r>
  <r>
    <n v="1539"/>
    <n v="2023"/>
    <x v="0"/>
    <s v="2023-05-09"/>
    <x v="1"/>
    <x v="1"/>
    <x v="2"/>
    <s v="High"/>
    <n v="1022"/>
    <n v="110.18"/>
    <n v="0.1078082191780822"/>
    <n v="2"/>
    <x v="0"/>
  </r>
  <r>
    <n v="1540"/>
    <n v="2023"/>
    <x v="5"/>
    <s v="2023-07-23"/>
    <x v="0"/>
    <x v="1"/>
    <x v="10"/>
    <s v="High"/>
    <n v="2250"/>
    <n v="555.5"/>
    <n v="0.24688888888888888"/>
    <n v="9"/>
    <x v="2"/>
  </r>
  <r>
    <n v="1541"/>
    <n v="2023"/>
    <x v="0"/>
    <s v="2023-05-07"/>
    <x v="3"/>
    <x v="1"/>
    <x v="10"/>
    <s v="High"/>
    <n v="4935"/>
    <n v="569.72"/>
    <n v="0.11544478216818643"/>
    <n v="5"/>
    <x v="2"/>
  </r>
  <r>
    <n v="1542"/>
    <n v="2023"/>
    <x v="5"/>
    <s v="2023-07-02"/>
    <x v="0"/>
    <x v="1"/>
    <x v="8"/>
    <s v="High"/>
    <n v="6330"/>
    <n v="2104.17"/>
    <n v="0.33241232227488154"/>
    <n v="6"/>
    <x v="0"/>
  </r>
  <r>
    <n v="1543"/>
    <n v="2023"/>
    <x v="6"/>
    <s v="2023-10-04"/>
    <x v="1"/>
    <x v="0"/>
    <x v="12"/>
    <s v="Medium"/>
    <n v="516"/>
    <n v="163.5"/>
    <n v="0.31686046511627908"/>
    <n v="3"/>
    <x v="0"/>
  </r>
  <r>
    <n v="1544"/>
    <n v="2023"/>
    <x v="6"/>
    <s v="2023-10-04"/>
    <x v="3"/>
    <x v="2"/>
    <x v="11"/>
    <s v="High"/>
    <n v="2408"/>
    <n v="430.46"/>
    <n v="0.17876245847176078"/>
    <n v="4"/>
    <x v="1"/>
  </r>
  <r>
    <n v="1545"/>
    <n v="2023"/>
    <x v="7"/>
    <s v="2023-01-01"/>
    <x v="3"/>
    <x v="2"/>
    <x v="6"/>
    <s v="High"/>
    <n v="4518"/>
    <n v="933.8"/>
    <n v="0.20668437361664452"/>
    <n v="9"/>
    <x v="2"/>
  </r>
  <r>
    <n v="1546"/>
    <n v="2023"/>
    <x v="7"/>
    <s v="2023-01-05"/>
    <x v="2"/>
    <x v="1"/>
    <x v="10"/>
    <s v="High"/>
    <n v="4753"/>
    <n v="1402.74"/>
    <n v="0.29512728802861349"/>
    <n v="7"/>
    <x v="1"/>
  </r>
  <r>
    <n v="1547"/>
    <n v="2023"/>
    <x v="6"/>
    <s v="2023-10-15"/>
    <x v="1"/>
    <x v="0"/>
    <x v="9"/>
    <s v="Medium"/>
    <n v="357"/>
    <n v="97.47"/>
    <n v="0.27302521008403363"/>
    <n v="7"/>
    <x v="1"/>
  </r>
  <r>
    <n v="1548"/>
    <n v="2023"/>
    <x v="0"/>
    <s v="2023-05-15"/>
    <x v="2"/>
    <x v="0"/>
    <x v="12"/>
    <s v="Low"/>
    <n v="142"/>
    <n v="31.17"/>
    <n v="0.21950704225352113"/>
    <n v="2"/>
    <x v="2"/>
  </r>
  <r>
    <n v="1549"/>
    <n v="2023"/>
    <x v="9"/>
    <s v="2023-09-30"/>
    <x v="3"/>
    <x v="0"/>
    <x v="9"/>
    <s v="Low"/>
    <n v="135"/>
    <n v="17.45"/>
    <n v="0.12925925925925924"/>
    <n v="5"/>
    <x v="0"/>
  </r>
  <r>
    <n v="1550"/>
    <n v="2023"/>
    <x v="1"/>
    <s v="2023-08-20"/>
    <x v="2"/>
    <x v="2"/>
    <x v="4"/>
    <s v="High"/>
    <n v="1710"/>
    <n v="145.75"/>
    <n v="8.5233918128654967E-2"/>
    <n v="5"/>
    <x v="0"/>
  </r>
  <r>
    <n v="1551"/>
    <n v="2023"/>
    <x v="3"/>
    <s v="2023-02-22"/>
    <x v="0"/>
    <x v="1"/>
    <x v="7"/>
    <s v="High"/>
    <n v="3155"/>
    <n v="625.87"/>
    <n v="0.19837400950871634"/>
    <n v="5"/>
    <x v="2"/>
  </r>
  <r>
    <n v="1552"/>
    <n v="2023"/>
    <x v="7"/>
    <s v="2023-01-08"/>
    <x v="0"/>
    <x v="1"/>
    <x v="2"/>
    <s v="High"/>
    <n v="4192"/>
    <n v="688.01"/>
    <n v="0.16412452290076335"/>
    <n v="8"/>
    <x v="2"/>
  </r>
  <r>
    <n v="1553"/>
    <n v="2023"/>
    <x v="7"/>
    <s v="2023-01-17"/>
    <x v="2"/>
    <x v="2"/>
    <x v="11"/>
    <s v="High"/>
    <n v="1794"/>
    <n v="272.61"/>
    <n v="0.15195652173913043"/>
    <n v="6"/>
    <x v="0"/>
  </r>
  <r>
    <n v="1554"/>
    <n v="2023"/>
    <x v="10"/>
    <s v="2023-04-09"/>
    <x v="2"/>
    <x v="2"/>
    <x v="4"/>
    <s v="High"/>
    <n v="810"/>
    <n v="277.94"/>
    <n v="0.34313580246913578"/>
    <n v="5"/>
    <x v="2"/>
  </r>
  <r>
    <n v="1555"/>
    <n v="2023"/>
    <x v="0"/>
    <s v="2023-05-07"/>
    <x v="2"/>
    <x v="0"/>
    <x v="5"/>
    <s v="Low"/>
    <n v="198"/>
    <n v="57.06"/>
    <n v="0.28818181818181821"/>
    <n v="1"/>
    <x v="1"/>
  </r>
  <r>
    <n v="1556"/>
    <n v="2023"/>
    <x v="4"/>
    <s v="2023-12-15"/>
    <x v="2"/>
    <x v="0"/>
    <x v="5"/>
    <s v="High"/>
    <n v="855"/>
    <n v="236.51"/>
    <n v="0.27661988304093565"/>
    <n v="5"/>
    <x v="1"/>
  </r>
  <r>
    <n v="1557"/>
    <n v="2023"/>
    <x v="9"/>
    <s v="2023-09-04"/>
    <x v="0"/>
    <x v="0"/>
    <x v="1"/>
    <s v="Low"/>
    <n v="115"/>
    <n v="36.020000000000003"/>
    <n v="0.31321739130434784"/>
    <n v="5"/>
    <x v="1"/>
  </r>
  <r>
    <n v="1558"/>
    <n v="2023"/>
    <x v="1"/>
    <s v="2023-08-11"/>
    <x v="1"/>
    <x v="1"/>
    <x v="8"/>
    <s v="High"/>
    <n v="660"/>
    <n v="156.99"/>
    <n v="0.23786363636363639"/>
    <n v="6"/>
    <x v="0"/>
  </r>
  <r>
    <n v="1559"/>
    <n v="2023"/>
    <x v="6"/>
    <s v="2023-10-25"/>
    <x v="0"/>
    <x v="2"/>
    <x v="6"/>
    <s v="High"/>
    <n v="4240"/>
    <n v="623.94000000000005"/>
    <n v="0.1471556603773585"/>
    <n v="8"/>
    <x v="2"/>
  </r>
  <r>
    <n v="1560"/>
    <n v="2023"/>
    <x v="7"/>
    <s v="2023-01-31"/>
    <x v="3"/>
    <x v="2"/>
    <x v="4"/>
    <s v="High"/>
    <n v="810"/>
    <n v="218.18"/>
    <n v="0.26935802469135806"/>
    <n v="1"/>
    <x v="0"/>
  </r>
  <r>
    <n v="1561"/>
    <n v="2023"/>
    <x v="8"/>
    <s v="2023-06-12"/>
    <x v="2"/>
    <x v="1"/>
    <x v="2"/>
    <s v="High"/>
    <n v="7119"/>
    <n v="940.42"/>
    <n v="0.13210001404691671"/>
    <n v="9"/>
    <x v="2"/>
  </r>
  <r>
    <n v="1562"/>
    <n v="2023"/>
    <x v="11"/>
    <s v="2023-03-10"/>
    <x v="3"/>
    <x v="0"/>
    <x v="12"/>
    <s v="High"/>
    <n v="950"/>
    <n v="188.22"/>
    <n v="0.19812631578947368"/>
    <n v="5"/>
    <x v="0"/>
  </r>
  <r>
    <n v="1563"/>
    <n v="2023"/>
    <x v="10"/>
    <s v="2023-04-06"/>
    <x v="1"/>
    <x v="2"/>
    <x v="13"/>
    <s v="High"/>
    <n v="4329"/>
    <n v="893.79"/>
    <n v="0.20646569646569646"/>
    <n v="9"/>
    <x v="0"/>
  </r>
  <r>
    <n v="1564"/>
    <n v="2023"/>
    <x v="9"/>
    <s v="2023-09-29"/>
    <x v="1"/>
    <x v="0"/>
    <x v="1"/>
    <s v="Medium"/>
    <n v="231"/>
    <n v="52.26"/>
    <n v="0.22623376623376623"/>
    <n v="3"/>
    <x v="2"/>
  </r>
  <r>
    <n v="1565"/>
    <n v="2023"/>
    <x v="10"/>
    <s v="2023-04-05"/>
    <x v="2"/>
    <x v="2"/>
    <x v="4"/>
    <s v="High"/>
    <n v="785"/>
    <n v="130.77000000000001"/>
    <n v="0.16658598726114651"/>
    <n v="1"/>
    <x v="0"/>
  </r>
  <r>
    <n v="1566"/>
    <n v="2023"/>
    <x v="9"/>
    <s v="2023-09-26"/>
    <x v="2"/>
    <x v="1"/>
    <x v="7"/>
    <s v="High"/>
    <n v="3160"/>
    <n v="528.04"/>
    <n v="0.16710126582278481"/>
    <n v="8"/>
    <x v="2"/>
  </r>
  <r>
    <n v="1567"/>
    <n v="2023"/>
    <x v="9"/>
    <s v="2023-09-25"/>
    <x v="0"/>
    <x v="0"/>
    <x v="9"/>
    <s v="Low"/>
    <n v="110"/>
    <n v="34.74"/>
    <n v="0.31581818181818183"/>
    <n v="2"/>
    <x v="2"/>
  </r>
  <r>
    <n v="1568"/>
    <n v="2023"/>
    <x v="3"/>
    <s v="2023-02-20"/>
    <x v="2"/>
    <x v="1"/>
    <x v="8"/>
    <s v="High"/>
    <n v="875"/>
    <n v="194.23"/>
    <n v="0.22197714285714285"/>
    <n v="1"/>
    <x v="2"/>
  </r>
  <r>
    <n v="1569"/>
    <n v="2023"/>
    <x v="5"/>
    <s v="2023-07-07"/>
    <x v="3"/>
    <x v="0"/>
    <x v="1"/>
    <s v="Medium"/>
    <n v="252"/>
    <n v="64.78"/>
    <n v="0.25706349206349205"/>
    <n v="4"/>
    <x v="2"/>
  </r>
  <r>
    <n v="1570"/>
    <n v="2023"/>
    <x v="6"/>
    <s v="2023-10-13"/>
    <x v="0"/>
    <x v="1"/>
    <x v="10"/>
    <s v="High"/>
    <n v="5845"/>
    <n v="1767.43"/>
    <n v="0.30238323353293417"/>
    <n v="7"/>
    <x v="1"/>
  </r>
  <r>
    <n v="1571"/>
    <n v="2023"/>
    <x v="3"/>
    <s v="2023-02-09"/>
    <x v="0"/>
    <x v="2"/>
    <x v="4"/>
    <s v="High"/>
    <n v="996"/>
    <n v="274.69"/>
    <n v="0.27579317269076303"/>
    <n v="4"/>
    <x v="1"/>
  </r>
  <r>
    <n v="1572"/>
    <n v="2023"/>
    <x v="9"/>
    <s v="2023-09-27"/>
    <x v="1"/>
    <x v="0"/>
    <x v="12"/>
    <s v="High"/>
    <n v="608"/>
    <n v="116.8"/>
    <n v="0.19210526315789472"/>
    <n v="4"/>
    <x v="2"/>
  </r>
  <r>
    <n v="1573"/>
    <n v="2023"/>
    <x v="1"/>
    <s v="2023-08-23"/>
    <x v="3"/>
    <x v="1"/>
    <x v="7"/>
    <s v="High"/>
    <n v="2051"/>
    <n v="468.63"/>
    <n v="0.228488542174549"/>
    <n v="7"/>
    <x v="0"/>
  </r>
  <r>
    <n v="1574"/>
    <n v="2023"/>
    <x v="2"/>
    <s v="2023-11-04"/>
    <x v="1"/>
    <x v="0"/>
    <x v="9"/>
    <s v="High"/>
    <n v="1200"/>
    <n v="417.23"/>
    <n v="0.34769166666666668"/>
    <n v="8"/>
    <x v="0"/>
  </r>
  <r>
    <n v="1575"/>
    <n v="2023"/>
    <x v="1"/>
    <s v="2023-08-09"/>
    <x v="2"/>
    <x v="2"/>
    <x v="11"/>
    <s v="High"/>
    <n v="4356"/>
    <n v="600.09"/>
    <n v="0.13776170798898071"/>
    <n v="6"/>
    <x v="0"/>
  </r>
  <r>
    <n v="1576"/>
    <n v="2023"/>
    <x v="1"/>
    <s v="2023-08-18"/>
    <x v="3"/>
    <x v="0"/>
    <x v="9"/>
    <s v="Low"/>
    <n v="126"/>
    <n v="43.52"/>
    <n v="0.34539682539682542"/>
    <n v="7"/>
    <x v="1"/>
  </r>
  <r>
    <n v="1577"/>
    <n v="2023"/>
    <x v="7"/>
    <s v="2023-01-04"/>
    <x v="1"/>
    <x v="0"/>
    <x v="0"/>
    <s v="Medium"/>
    <n v="450"/>
    <n v="38.64"/>
    <n v="8.5866666666666674E-2"/>
    <n v="5"/>
    <x v="1"/>
  </r>
  <r>
    <n v="1578"/>
    <n v="2023"/>
    <x v="7"/>
    <s v="2023-01-20"/>
    <x v="1"/>
    <x v="0"/>
    <x v="9"/>
    <s v="Medium"/>
    <n v="360"/>
    <n v="54.56"/>
    <n v="0.15155555555555555"/>
    <n v="8"/>
    <x v="2"/>
  </r>
  <r>
    <n v="1579"/>
    <n v="2023"/>
    <x v="8"/>
    <s v="2023-06-03"/>
    <x v="1"/>
    <x v="0"/>
    <x v="5"/>
    <s v="Low"/>
    <n v="130"/>
    <n v="36.17"/>
    <n v="0.27823076923076923"/>
    <n v="2"/>
    <x v="1"/>
  </r>
  <r>
    <n v="1580"/>
    <n v="2023"/>
    <x v="9"/>
    <s v="2023-09-07"/>
    <x v="2"/>
    <x v="0"/>
    <x v="9"/>
    <s v="High"/>
    <n v="1740"/>
    <n v="280.32"/>
    <n v="0.16110344827586207"/>
    <n v="10"/>
    <x v="2"/>
  </r>
  <r>
    <n v="1581"/>
    <n v="2023"/>
    <x v="7"/>
    <s v="2023-01-29"/>
    <x v="2"/>
    <x v="0"/>
    <x v="1"/>
    <s v="High"/>
    <n v="696"/>
    <n v="230.49"/>
    <n v="0.33116379310344829"/>
    <n v="6"/>
    <x v="2"/>
  </r>
  <r>
    <n v="1582"/>
    <n v="2023"/>
    <x v="2"/>
    <s v="2023-11-20"/>
    <x v="0"/>
    <x v="1"/>
    <x v="2"/>
    <s v="High"/>
    <n v="1330"/>
    <n v="121.19"/>
    <n v="9.1120300751879699E-2"/>
    <n v="7"/>
    <x v="0"/>
  </r>
  <r>
    <n v="1583"/>
    <n v="2023"/>
    <x v="9"/>
    <s v="2023-09-15"/>
    <x v="1"/>
    <x v="0"/>
    <x v="1"/>
    <s v="High"/>
    <n v="728"/>
    <n v="202.04"/>
    <n v="0.27752747252747251"/>
    <n v="4"/>
    <x v="1"/>
  </r>
  <r>
    <n v="1584"/>
    <n v="2023"/>
    <x v="1"/>
    <s v="2023-08-10"/>
    <x v="0"/>
    <x v="2"/>
    <x v="13"/>
    <s v="High"/>
    <n v="1505"/>
    <n v="257"/>
    <n v="0.1707641196013289"/>
    <n v="5"/>
    <x v="2"/>
  </r>
  <r>
    <n v="1585"/>
    <n v="2023"/>
    <x v="3"/>
    <s v="2023-02-13"/>
    <x v="2"/>
    <x v="2"/>
    <x v="4"/>
    <s v="High"/>
    <n v="4158"/>
    <n v="479.01"/>
    <n v="0.11520202020202019"/>
    <n v="7"/>
    <x v="1"/>
  </r>
  <r>
    <n v="1586"/>
    <n v="2023"/>
    <x v="5"/>
    <s v="2023-07-22"/>
    <x v="1"/>
    <x v="1"/>
    <x v="10"/>
    <s v="High"/>
    <n v="4810"/>
    <n v="1679.71"/>
    <n v="0.3492120582120582"/>
    <n v="10"/>
    <x v="1"/>
  </r>
  <r>
    <n v="1587"/>
    <n v="2023"/>
    <x v="0"/>
    <s v="2023-05-17"/>
    <x v="1"/>
    <x v="0"/>
    <x v="5"/>
    <s v="High"/>
    <n v="1099"/>
    <n v="114.51"/>
    <n v="0.10419472247497726"/>
    <n v="7"/>
    <x v="2"/>
  </r>
  <r>
    <n v="1588"/>
    <n v="2023"/>
    <x v="8"/>
    <s v="2023-06-28"/>
    <x v="2"/>
    <x v="0"/>
    <x v="12"/>
    <s v="High"/>
    <n v="648"/>
    <n v="166.51"/>
    <n v="0.25695987654320984"/>
    <n v="4"/>
    <x v="1"/>
  </r>
  <r>
    <n v="1589"/>
    <n v="2023"/>
    <x v="1"/>
    <s v="2023-08-15"/>
    <x v="3"/>
    <x v="2"/>
    <x v="6"/>
    <s v="High"/>
    <n v="6010"/>
    <n v="1980.52"/>
    <n v="0.32953743760399334"/>
    <n v="10"/>
    <x v="0"/>
  </r>
  <r>
    <n v="1590"/>
    <n v="2023"/>
    <x v="3"/>
    <s v="2023-02-13"/>
    <x v="3"/>
    <x v="1"/>
    <x v="2"/>
    <s v="Medium"/>
    <n v="382"/>
    <n v="126.14"/>
    <n v="0.33020942408376963"/>
    <n v="2"/>
    <x v="2"/>
  </r>
  <r>
    <n v="1591"/>
    <n v="2023"/>
    <x v="3"/>
    <s v="2023-02-26"/>
    <x v="3"/>
    <x v="2"/>
    <x v="4"/>
    <s v="High"/>
    <n v="3160"/>
    <n v="535.96"/>
    <n v="0.16960759493670888"/>
    <n v="5"/>
    <x v="0"/>
  </r>
  <r>
    <n v="1592"/>
    <n v="2023"/>
    <x v="6"/>
    <s v="2023-10-07"/>
    <x v="1"/>
    <x v="0"/>
    <x v="1"/>
    <s v="High"/>
    <n v="1197"/>
    <n v="297.12"/>
    <n v="0.24822055137844612"/>
    <n v="9"/>
    <x v="2"/>
  </r>
  <r>
    <n v="1593"/>
    <n v="2023"/>
    <x v="4"/>
    <s v="2023-12-06"/>
    <x v="2"/>
    <x v="1"/>
    <x v="8"/>
    <s v="High"/>
    <n v="1521"/>
    <n v="146.37"/>
    <n v="9.6232741617357009E-2"/>
    <n v="9"/>
    <x v="0"/>
  </r>
  <r>
    <n v="1594"/>
    <n v="2023"/>
    <x v="1"/>
    <s v="2023-08-27"/>
    <x v="3"/>
    <x v="1"/>
    <x v="7"/>
    <s v="Medium"/>
    <n v="216"/>
    <n v="33.1"/>
    <n v="0.15324074074074076"/>
    <n v="1"/>
    <x v="2"/>
  </r>
  <r>
    <n v="1595"/>
    <n v="2023"/>
    <x v="0"/>
    <s v="2023-05-30"/>
    <x v="0"/>
    <x v="0"/>
    <x v="9"/>
    <s v="High"/>
    <n v="980"/>
    <n v="336.81"/>
    <n v="0.34368367346938777"/>
    <n v="7"/>
    <x v="2"/>
  </r>
  <r>
    <n v="1596"/>
    <n v="2023"/>
    <x v="9"/>
    <s v="2023-09-30"/>
    <x v="2"/>
    <x v="1"/>
    <x v="3"/>
    <s v="High"/>
    <n v="922"/>
    <n v="314.43"/>
    <n v="0.34103036876355747"/>
    <n v="2"/>
    <x v="0"/>
  </r>
  <r>
    <n v="1597"/>
    <n v="2023"/>
    <x v="9"/>
    <s v="2023-09-29"/>
    <x v="0"/>
    <x v="0"/>
    <x v="0"/>
    <s v="Medium"/>
    <n v="550"/>
    <n v="154.54"/>
    <n v="0.28098181818181817"/>
    <n v="5"/>
    <x v="2"/>
  </r>
  <r>
    <n v="1598"/>
    <n v="2023"/>
    <x v="2"/>
    <s v="2023-11-17"/>
    <x v="3"/>
    <x v="1"/>
    <x v="3"/>
    <s v="High"/>
    <n v="2815"/>
    <n v="842.28"/>
    <n v="0.29921136767317941"/>
    <n v="5"/>
    <x v="1"/>
  </r>
  <r>
    <n v="1599"/>
    <n v="2023"/>
    <x v="6"/>
    <s v="2023-10-12"/>
    <x v="2"/>
    <x v="0"/>
    <x v="9"/>
    <s v="Medium"/>
    <n v="485"/>
    <n v="156.29"/>
    <n v="0.32224742268041234"/>
    <n v="5"/>
    <x v="2"/>
  </r>
  <r>
    <n v="1600"/>
    <n v="2023"/>
    <x v="5"/>
    <s v="2023-07-15"/>
    <x v="0"/>
    <x v="0"/>
    <x v="5"/>
    <s v="High"/>
    <n v="639"/>
    <n v="149.96"/>
    <n v="0.23467918622848202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A014-D327-47EF-B509-FFFF7C3BD6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10"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E85FF-1F0B-4243-969A-C148233B82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:I14" firstHeaderRow="1" firstDataRow="1" firstDataCol="1"/>
  <pivotFields count="13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 measureFilter="1" sortType="descending">
      <items count="15">
        <item x="7"/>
        <item x="11"/>
        <item x="12"/>
        <item x="13"/>
        <item x="9"/>
        <item x="1"/>
        <item x="0"/>
        <item x="5"/>
        <item x="10"/>
        <item x="2"/>
        <item x="8"/>
        <item x="3"/>
        <item x="6"/>
        <item x="4"/>
        <item t="default"/>
      </items>
    </pivotField>
    <pivotField showAll="0"/>
    <pivotField showAll="0"/>
    <pivotField showAll="0"/>
    <pivotField numFmtId="10" showAll="0"/>
    <pivotField dataField="1" showAll="0"/>
    <pivotField showAll="0">
      <items count="4">
        <item x="2"/>
        <item x="1"/>
        <item x="0"/>
        <item t="default"/>
      </items>
    </pivotField>
  </pivotFields>
  <rowFields count="1">
    <field x="6"/>
  </rowFields>
  <rowItems count="11">
    <i>
      <x v="1"/>
    </i>
    <i>
      <x v="2"/>
    </i>
    <i>
      <x v="4"/>
    </i>
    <i>
      <x v="5"/>
    </i>
    <i>
      <x v="7"/>
    </i>
    <i>
      <x v="8"/>
    </i>
    <i>
      <x v="9"/>
    </i>
    <i>
      <x v="10"/>
    </i>
    <i>
      <x v="12"/>
    </i>
    <i>
      <x v="13"/>
    </i>
    <i t="grand">
      <x/>
    </i>
  </rowItems>
  <colItems count="1">
    <i/>
  </colItems>
  <dataFields count="1">
    <dataField name="Sum of Quantity" fld="11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7532A-C557-4EC7-BD6C-E38E49194C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2:E16" firstHeaderRow="1" firstDataRow="1" firstDataCol="1"/>
  <pivotFields count="13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10"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04E3F-B1ED-4D95-A2FB-B3337B7692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3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10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061C7-AF03-42CA-A89A-2433A6BA8B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25" firstHeaderRow="1" firstDataRow="1" firstDataCol="1"/>
  <pivotFields count="13">
    <pivotField showAll="0"/>
    <pivotField showAll="0"/>
    <pivotField axis="axisRow" showAll="0">
      <items count="13">
        <item x="7"/>
        <item x="3"/>
        <item x="11"/>
        <item x="10"/>
        <item x="0"/>
        <item x="8"/>
        <item x="5"/>
        <item x="1"/>
        <item x="9"/>
        <item x="6"/>
        <item x="2"/>
        <item x="4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10"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06250-3A50-48D6-9E79-E617C48AD0B1}" name="Table1" displayName="Table1" ref="A1:M601" totalsRowShown="0">
  <autoFilter ref="A1:M601" xr:uid="{2FC06250-3A50-48D6-9E79-E617C48AD0B1}"/>
  <tableColumns count="13">
    <tableColumn id="1" xr3:uid="{A183772C-F723-476E-AE18-792DCAB1B27F}" name="OrderID"/>
    <tableColumn id="12" xr3:uid="{BC87F41D-49DB-48CD-BA20-8E3C94EAA3EA}" name="Order Year" dataDxfId="3">
      <calculatedColumnFormula>YEAR(D2)</calculatedColumnFormula>
    </tableColumn>
    <tableColumn id="11" xr3:uid="{AF4318BA-DDA1-4012-987B-5A532757DF17}" name="Order Month" dataDxfId="2">
      <calculatedColumnFormula>TEXT(D2,"mmmm")</calculatedColumnFormula>
    </tableColumn>
    <tableColumn id="2" xr3:uid="{42C1EB29-FD2A-4E60-9E04-4CE85BBDA106}" name="OrderDate"/>
    <tableColumn id="3" xr3:uid="{8EA558D4-3EAE-41AB-959E-B7B9E7E6B713}" name="Region"/>
    <tableColumn id="4" xr3:uid="{AA86FD7A-DAEC-419B-A0EC-A4D286940F00}" name="Category"/>
    <tableColumn id="5" xr3:uid="{33BBB9CE-0E49-48DA-9DF9-D32EC58283EA}" name="Product"/>
    <tableColumn id="13" xr3:uid="{740554DD-4CBF-4B24-AE65-204291DA11FC}" name="Sales Category" dataDxfId="1">
      <calculatedColumnFormula>IF(I2&lt;=200,"Low",IF(I2&lt;=600,"Medium","High"))</calculatedColumnFormula>
    </tableColumn>
    <tableColumn id="6" xr3:uid="{64AF27A4-CEAC-494C-B77A-33B9E9ABA7C7}" name="Sales"/>
    <tableColumn id="7" xr3:uid="{1229774A-230E-4D09-B704-0858AFEFF123}" name="Profit"/>
    <tableColumn id="10" xr3:uid="{35EEF63D-3E77-47AD-B3FB-759050D8A756}" name="Profit Margin" dataDxfId="0">
      <calculatedColumnFormula>J2/I2</calculatedColumnFormula>
    </tableColumn>
    <tableColumn id="8" xr3:uid="{071B69C1-3C4E-4E65-B9D8-94B0627343BF}" name="Quantity"/>
    <tableColumn id="9" xr3:uid="{167775E2-C1CE-49FA-BB5A-21026CBC3069}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FEDF-DEE0-4634-9423-C761B1025688}">
  <dimension ref="A3:I25"/>
  <sheetViews>
    <sheetView workbookViewId="0">
      <selection activeCell="H3" sqref="H3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3.140625" bestFit="1" customWidth="1"/>
    <col min="5" max="5" width="12.140625" bestFit="1" customWidth="1"/>
    <col min="8" max="8" width="13.140625" bestFit="1" customWidth="1"/>
    <col min="9" max="9" width="15.42578125" bestFit="1" customWidth="1"/>
  </cols>
  <sheetData>
    <row r="3" spans="1:9" x14ac:dyDescent="0.25">
      <c r="A3" s="1" t="s">
        <v>328</v>
      </c>
      <c r="B3" t="s">
        <v>330</v>
      </c>
      <c r="D3" s="1" t="s">
        <v>328</v>
      </c>
      <c r="E3" t="s">
        <v>330</v>
      </c>
      <c r="H3" s="1" t="s">
        <v>328</v>
      </c>
      <c r="I3" t="s">
        <v>347</v>
      </c>
    </row>
    <row r="4" spans="1:9" x14ac:dyDescent="0.25">
      <c r="A4" s="2" t="s">
        <v>24</v>
      </c>
      <c r="B4" s="6">
        <v>345483</v>
      </c>
      <c r="D4" s="2" t="s">
        <v>30</v>
      </c>
      <c r="E4" s="6">
        <v>403005</v>
      </c>
      <c r="H4" s="2" t="s">
        <v>73</v>
      </c>
      <c r="I4" s="6">
        <v>251</v>
      </c>
    </row>
    <row r="5" spans="1:9" x14ac:dyDescent="0.25">
      <c r="A5" s="2" t="s">
        <v>10</v>
      </c>
      <c r="B5" s="6">
        <v>359606</v>
      </c>
      <c r="D5" s="2" t="s">
        <v>22</v>
      </c>
      <c r="E5" s="6">
        <v>494261</v>
      </c>
      <c r="H5" s="2" t="s">
        <v>84</v>
      </c>
      <c r="I5" s="6">
        <v>277</v>
      </c>
    </row>
    <row r="6" spans="1:9" x14ac:dyDescent="0.25">
      <c r="A6" s="2" t="s">
        <v>17</v>
      </c>
      <c r="B6" s="6">
        <v>288187</v>
      </c>
      <c r="D6" s="2" t="s">
        <v>13</v>
      </c>
      <c r="E6" s="6">
        <v>455059</v>
      </c>
      <c r="H6" s="2" t="s">
        <v>44</v>
      </c>
      <c r="I6" s="6">
        <v>230</v>
      </c>
    </row>
    <row r="7" spans="1:9" x14ac:dyDescent="0.25">
      <c r="A7" s="2" t="s">
        <v>19</v>
      </c>
      <c r="B7" s="6">
        <v>359049</v>
      </c>
      <c r="D7" s="2" t="s">
        <v>329</v>
      </c>
      <c r="E7" s="6">
        <v>1352325</v>
      </c>
      <c r="H7" s="2" t="s">
        <v>15</v>
      </c>
      <c r="I7" s="6">
        <v>269</v>
      </c>
    </row>
    <row r="8" spans="1:9" x14ac:dyDescent="0.25">
      <c r="A8" s="2" t="s">
        <v>329</v>
      </c>
      <c r="B8" s="6">
        <v>1352325</v>
      </c>
      <c r="H8" s="2" t="s">
        <v>33</v>
      </c>
      <c r="I8" s="6">
        <v>227</v>
      </c>
    </row>
    <row r="9" spans="1:9" x14ac:dyDescent="0.25">
      <c r="H9" s="2" t="s">
        <v>55</v>
      </c>
      <c r="I9" s="6">
        <v>240</v>
      </c>
    </row>
    <row r="10" spans="1:9" x14ac:dyDescent="0.25">
      <c r="H10" s="2" t="s">
        <v>21</v>
      </c>
      <c r="I10" s="6">
        <v>231</v>
      </c>
    </row>
    <row r="11" spans="1:9" x14ac:dyDescent="0.25">
      <c r="H11" s="2" t="s">
        <v>42</v>
      </c>
      <c r="I11" s="6">
        <v>208</v>
      </c>
    </row>
    <row r="12" spans="1:9" x14ac:dyDescent="0.25">
      <c r="A12" s="1" t="s">
        <v>328</v>
      </c>
      <c r="B12" t="s">
        <v>330</v>
      </c>
      <c r="D12" s="1" t="s">
        <v>328</v>
      </c>
      <c r="E12" t="s">
        <v>330</v>
      </c>
      <c r="H12" s="2" t="s">
        <v>36</v>
      </c>
      <c r="I12" s="6">
        <v>250</v>
      </c>
    </row>
    <row r="13" spans="1:9" x14ac:dyDescent="0.25">
      <c r="A13" s="2" t="s">
        <v>335</v>
      </c>
      <c r="B13" s="6">
        <v>142152</v>
      </c>
      <c r="D13" s="2" t="s">
        <v>27</v>
      </c>
      <c r="E13" s="6">
        <v>551175</v>
      </c>
      <c r="H13" s="2" t="s">
        <v>28</v>
      </c>
      <c r="I13" s="6">
        <v>325</v>
      </c>
    </row>
    <row r="14" spans="1:9" x14ac:dyDescent="0.25">
      <c r="A14" s="2" t="s">
        <v>336</v>
      </c>
      <c r="B14" s="6">
        <v>121425</v>
      </c>
      <c r="D14" s="2" t="s">
        <v>11</v>
      </c>
      <c r="E14" s="6">
        <v>121972</v>
      </c>
      <c r="H14" s="2" t="s">
        <v>329</v>
      </c>
      <c r="I14" s="6">
        <v>2508</v>
      </c>
    </row>
    <row r="15" spans="1:9" x14ac:dyDescent="0.25">
      <c r="A15" s="2" t="s">
        <v>337</v>
      </c>
      <c r="B15" s="6">
        <v>88450</v>
      </c>
      <c r="D15" s="2" t="s">
        <v>20</v>
      </c>
      <c r="E15" s="6">
        <v>679178</v>
      </c>
    </row>
    <row r="16" spans="1:9" x14ac:dyDescent="0.25">
      <c r="A16" s="2" t="s">
        <v>338</v>
      </c>
      <c r="B16" s="6">
        <v>101455</v>
      </c>
      <c r="D16" s="2" t="s">
        <v>329</v>
      </c>
      <c r="E16" s="6">
        <v>1352325</v>
      </c>
    </row>
    <row r="17" spans="1:2" x14ac:dyDescent="0.25">
      <c r="A17" s="2" t="s">
        <v>339</v>
      </c>
      <c r="B17" s="6">
        <v>98947</v>
      </c>
    </row>
    <row r="18" spans="1:2" x14ac:dyDescent="0.25">
      <c r="A18" s="2" t="s">
        <v>340</v>
      </c>
      <c r="B18" s="6">
        <v>111676</v>
      </c>
    </row>
    <row r="19" spans="1:2" x14ac:dyDescent="0.25">
      <c r="A19" s="2" t="s">
        <v>341</v>
      </c>
      <c r="B19" s="6">
        <v>113316</v>
      </c>
    </row>
    <row r="20" spans="1:2" x14ac:dyDescent="0.25">
      <c r="A20" s="2" t="s">
        <v>342</v>
      </c>
      <c r="B20" s="6">
        <v>124295</v>
      </c>
    </row>
    <row r="21" spans="1:2" x14ac:dyDescent="0.25">
      <c r="A21" s="2" t="s">
        <v>343</v>
      </c>
      <c r="B21" s="6">
        <v>82912</v>
      </c>
    </row>
    <row r="22" spans="1:2" x14ac:dyDescent="0.25">
      <c r="A22" s="2" t="s">
        <v>344</v>
      </c>
      <c r="B22" s="6">
        <v>133604</v>
      </c>
    </row>
    <row r="23" spans="1:2" x14ac:dyDescent="0.25">
      <c r="A23" s="2" t="s">
        <v>345</v>
      </c>
      <c r="B23" s="6">
        <v>132618</v>
      </c>
    </row>
    <row r="24" spans="1:2" x14ac:dyDescent="0.25">
      <c r="A24" s="2" t="s">
        <v>346</v>
      </c>
      <c r="B24" s="6">
        <v>101475</v>
      </c>
    </row>
    <row r="25" spans="1:2" x14ac:dyDescent="0.25">
      <c r="A25" s="2" t="s">
        <v>329</v>
      </c>
      <c r="B25" s="6">
        <v>1352325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"/>
  <sheetViews>
    <sheetView tabSelected="1" workbookViewId="0">
      <selection activeCell="P6" sqref="P6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4.85546875" bestFit="1" customWidth="1"/>
    <col min="4" max="4" width="12.5703125" bestFit="1" customWidth="1"/>
    <col min="5" max="5" width="9.42578125" bestFit="1" customWidth="1"/>
    <col min="6" max="6" width="14.5703125" bestFit="1" customWidth="1"/>
    <col min="7" max="7" width="10.28515625" bestFit="1" customWidth="1"/>
    <col min="8" max="8" width="16.28515625" bestFit="1" customWidth="1"/>
    <col min="9" max="9" width="7.85546875" bestFit="1" customWidth="1"/>
    <col min="10" max="10" width="8.28515625" bestFit="1" customWidth="1"/>
    <col min="11" max="11" width="15" bestFit="1" customWidth="1"/>
    <col min="12" max="12" width="11" bestFit="1" customWidth="1"/>
    <col min="13" max="13" width="12.140625" bestFit="1" customWidth="1"/>
    <col min="16" max="16" width="13.85546875" bestFit="1" customWidth="1"/>
  </cols>
  <sheetData>
    <row r="1" spans="1:16" x14ac:dyDescent="0.25">
      <c r="A1" t="s">
        <v>0</v>
      </c>
      <c r="B1" t="s">
        <v>334</v>
      </c>
      <c r="C1" t="s">
        <v>333</v>
      </c>
      <c r="D1" t="s">
        <v>1</v>
      </c>
      <c r="E1" t="s">
        <v>2</v>
      </c>
      <c r="F1" t="s">
        <v>3</v>
      </c>
      <c r="G1" t="s">
        <v>4</v>
      </c>
      <c r="H1" t="s">
        <v>331</v>
      </c>
      <c r="I1" t="s">
        <v>5</v>
      </c>
      <c r="J1" t="s">
        <v>6</v>
      </c>
      <c r="K1" t="s">
        <v>332</v>
      </c>
      <c r="L1" t="s">
        <v>7</v>
      </c>
      <c r="M1" t="s">
        <v>8</v>
      </c>
    </row>
    <row r="2" spans="1:16" x14ac:dyDescent="0.25">
      <c r="A2">
        <v>1001</v>
      </c>
      <c r="B2">
        <f t="shared" ref="B2:B65" si="0">YEAR(D2)</f>
        <v>2023</v>
      </c>
      <c r="C2" t="str">
        <f t="shared" ref="C2:C65" si="1">TEXT(D2,"mmmm")</f>
        <v>May</v>
      </c>
      <c r="D2" t="s">
        <v>9</v>
      </c>
      <c r="E2" t="s">
        <v>10</v>
      </c>
      <c r="F2" t="s">
        <v>11</v>
      </c>
      <c r="G2" t="s">
        <v>12</v>
      </c>
      <c r="H2" t="str">
        <f t="shared" ref="H2:H65" si="2">IF(I2&lt;=200,"Low",IF(I2&lt;=600,"Medium","High"))</f>
        <v>High</v>
      </c>
      <c r="I2">
        <v>792</v>
      </c>
      <c r="J2">
        <v>85.28</v>
      </c>
      <c r="K2" s="3">
        <f t="shared" ref="K2:K65" si="3">J2/I2</f>
        <v>0.10767676767676768</v>
      </c>
      <c r="L2">
        <v>4</v>
      </c>
      <c r="M2" t="s">
        <v>13</v>
      </c>
    </row>
    <row r="3" spans="1:16" x14ac:dyDescent="0.25">
      <c r="A3">
        <v>1002</v>
      </c>
      <c r="B3">
        <f t="shared" si="0"/>
        <v>2023</v>
      </c>
      <c r="C3" t="str">
        <f t="shared" si="1"/>
        <v>August</v>
      </c>
      <c r="D3" t="s">
        <v>14</v>
      </c>
      <c r="E3" t="s">
        <v>10</v>
      </c>
      <c r="F3" t="s">
        <v>11</v>
      </c>
      <c r="G3" t="s">
        <v>15</v>
      </c>
      <c r="H3" t="str">
        <f t="shared" si="2"/>
        <v>Low</v>
      </c>
      <c r="I3">
        <v>65</v>
      </c>
      <c r="J3">
        <v>9.2799999999999994</v>
      </c>
      <c r="K3" s="3">
        <f t="shared" si="3"/>
        <v>0.14276923076923076</v>
      </c>
      <c r="L3">
        <v>1</v>
      </c>
      <c r="M3" t="s">
        <v>13</v>
      </c>
    </row>
    <row r="4" spans="1:16" x14ac:dyDescent="0.25">
      <c r="A4">
        <v>1003</v>
      </c>
      <c r="B4">
        <f t="shared" si="0"/>
        <v>2023</v>
      </c>
      <c r="C4" t="str">
        <f t="shared" si="1"/>
        <v>November</v>
      </c>
      <c r="D4" t="s">
        <v>16</v>
      </c>
      <c r="E4" t="s">
        <v>17</v>
      </c>
      <c r="F4" t="s">
        <v>11</v>
      </c>
      <c r="G4" t="s">
        <v>12</v>
      </c>
      <c r="H4" t="str">
        <f t="shared" si="2"/>
        <v>High</v>
      </c>
      <c r="I4">
        <v>1116</v>
      </c>
      <c r="J4">
        <v>266.83999999999997</v>
      </c>
      <c r="K4" s="3">
        <f t="shared" si="3"/>
        <v>0.23910394265232973</v>
      </c>
      <c r="L4">
        <v>9</v>
      </c>
      <c r="M4" t="s">
        <v>13</v>
      </c>
      <c r="P4" s="4"/>
    </row>
    <row r="5" spans="1:16" x14ac:dyDescent="0.25">
      <c r="A5">
        <v>1004</v>
      </c>
      <c r="B5">
        <f t="shared" si="0"/>
        <v>2023</v>
      </c>
      <c r="C5" t="str">
        <f t="shared" si="1"/>
        <v>May</v>
      </c>
      <c r="D5" t="s">
        <v>18</v>
      </c>
      <c r="E5" t="s">
        <v>19</v>
      </c>
      <c r="F5" t="s">
        <v>20</v>
      </c>
      <c r="G5" t="s">
        <v>21</v>
      </c>
      <c r="H5" t="str">
        <f t="shared" si="2"/>
        <v>High</v>
      </c>
      <c r="I5">
        <v>1560</v>
      </c>
      <c r="J5">
        <v>163.86</v>
      </c>
      <c r="K5" s="3">
        <f t="shared" si="3"/>
        <v>0.10503846153846155</v>
      </c>
      <c r="L5">
        <v>3</v>
      </c>
      <c r="M5" t="s">
        <v>22</v>
      </c>
      <c r="P5" s="3"/>
    </row>
    <row r="6" spans="1:16" x14ac:dyDescent="0.25">
      <c r="A6">
        <v>1005</v>
      </c>
      <c r="B6">
        <f t="shared" si="0"/>
        <v>2023</v>
      </c>
      <c r="C6" t="str">
        <f t="shared" si="1"/>
        <v>May</v>
      </c>
      <c r="D6" t="s">
        <v>23</v>
      </c>
      <c r="E6" t="s">
        <v>24</v>
      </c>
      <c r="F6" t="s">
        <v>20</v>
      </c>
      <c r="G6" t="s">
        <v>25</v>
      </c>
      <c r="H6" t="str">
        <f t="shared" si="2"/>
        <v>High</v>
      </c>
      <c r="I6">
        <v>1020</v>
      </c>
      <c r="J6">
        <v>349.6</v>
      </c>
      <c r="K6" s="3">
        <f t="shared" si="3"/>
        <v>0.34274509803921571</v>
      </c>
      <c r="L6">
        <v>1</v>
      </c>
      <c r="M6" t="s">
        <v>13</v>
      </c>
      <c r="P6" s="5"/>
    </row>
    <row r="7" spans="1:16" x14ac:dyDescent="0.25">
      <c r="A7">
        <v>1006</v>
      </c>
      <c r="B7">
        <f t="shared" si="0"/>
        <v>2023</v>
      </c>
      <c r="C7" t="str">
        <f t="shared" si="1"/>
        <v>November</v>
      </c>
      <c r="D7" t="s">
        <v>26</v>
      </c>
      <c r="E7" t="s">
        <v>24</v>
      </c>
      <c r="F7" t="s">
        <v>27</v>
      </c>
      <c r="G7" t="s">
        <v>28</v>
      </c>
      <c r="H7" t="str">
        <f t="shared" si="2"/>
        <v>High</v>
      </c>
      <c r="I7">
        <v>5226</v>
      </c>
      <c r="J7">
        <v>482.74</v>
      </c>
      <c r="K7" s="3">
        <f t="shared" si="3"/>
        <v>9.2372751626482966E-2</v>
      </c>
      <c r="L7">
        <v>6</v>
      </c>
      <c r="M7" t="s">
        <v>13</v>
      </c>
    </row>
    <row r="8" spans="1:16" x14ac:dyDescent="0.25">
      <c r="A8">
        <v>1007</v>
      </c>
      <c r="B8">
        <f t="shared" si="0"/>
        <v>2023</v>
      </c>
      <c r="C8" t="str">
        <f t="shared" si="1"/>
        <v>February</v>
      </c>
      <c r="D8" t="s">
        <v>29</v>
      </c>
      <c r="E8" t="s">
        <v>10</v>
      </c>
      <c r="F8" t="s">
        <v>20</v>
      </c>
      <c r="G8" t="s">
        <v>25</v>
      </c>
      <c r="H8" t="str">
        <f t="shared" si="2"/>
        <v>High</v>
      </c>
      <c r="I8">
        <v>4543</v>
      </c>
      <c r="J8">
        <v>1386.57</v>
      </c>
      <c r="K8" s="3">
        <f t="shared" si="3"/>
        <v>0.30521021351529826</v>
      </c>
      <c r="L8">
        <v>7</v>
      </c>
      <c r="M8" t="s">
        <v>30</v>
      </c>
    </row>
    <row r="9" spans="1:16" x14ac:dyDescent="0.25">
      <c r="A9">
        <v>1008</v>
      </c>
      <c r="B9">
        <f t="shared" si="0"/>
        <v>2023</v>
      </c>
      <c r="C9" t="str">
        <f t="shared" si="1"/>
        <v>December</v>
      </c>
      <c r="D9" t="s">
        <v>31</v>
      </c>
      <c r="E9" t="s">
        <v>24</v>
      </c>
      <c r="F9" t="s">
        <v>20</v>
      </c>
      <c r="G9" t="s">
        <v>25</v>
      </c>
      <c r="H9" t="str">
        <f t="shared" si="2"/>
        <v>High</v>
      </c>
      <c r="I9">
        <v>1130</v>
      </c>
      <c r="J9">
        <v>142.61000000000001</v>
      </c>
      <c r="K9" s="3">
        <f t="shared" si="3"/>
        <v>0.12620353982300886</v>
      </c>
      <c r="L9">
        <v>5</v>
      </c>
      <c r="M9" t="s">
        <v>30</v>
      </c>
    </row>
    <row r="10" spans="1:16" x14ac:dyDescent="0.25">
      <c r="A10">
        <v>1009</v>
      </c>
      <c r="B10">
        <f t="shared" si="0"/>
        <v>2023</v>
      </c>
      <c r="C10" t="str">
        <f t="shared" si="1"/>
        <v>July</v>
      </c>
      <c r="D10" t="s">
        <v>32</v>
      </c>
      <c r="E10" t="s">
        <v>17</v>
      </c>
      <c r="F10" t="s">
        <v>11</v>
      </c>
      <c r="G10" t="s">
        <v>33</v>
      </c>
      <c r="H10" t="str">
        <f t="shared" si="2"/>
        <v>Medium</v>
      </c>
      <c r="I10">
        <v>465</v>
      </c>
      <c r="J10">
        <v>143.02000000000001</v>
      </c>
      <c r="K10" s="3">
        <f t="shared" si="3"/>
        <v>0.30756989247311828</v>
      </c>
      <c r="L10">
        <v>5</v>
      </c>
      <c r="M10" t="s">
        <v>22</v>
      </c>
    </row>
    <row r="11" spans="1:16" x14ac:dyDescent="0.25">
      <c r="A11">
        <v>1010</v>
      </c>
      <c r="B11">
        <f t="shared" si="0"/>
        <v>2023</v>
      </c>
      <c r="C11" t="str">
        <f t="shared" si="1"/>
        <v>July</v>
      </c>
      <c r="D11" t="s">
        <v>34</v>
      </c>
      <c r="E11" t="s">
        <v>10</v>
      </c>
      <c r="F11" t="s">
        <v>20</v>
      </c>
      <c r="G11" t="s">
        <v>21</v>
      </c>
      <c r="H11" t="str">
        <f t="shared" si="2"/>
        <v>High</v>
      </c>
      <c r="I11">
        <v>1075</v>
      </c>
      <c r="J11">
        <v>340.37</v>
      </c>
      <c r="K11" s="3">
        <f t="shared" si="3"/>
        <v>0.31662325581395351</v>
      </c>
      <c r="L11">
        <v>5</v>
      </c>
      <c r="M11" t="s">
        <v>22</v>
      </c>
    </row>
    <row r="12" spans="1:16" x14ac:dyDescent="0.25">
      <c r="A12">
        <v>1011</v>
      </c>
      <c r="B12">
        <f t="shared" si="0"/>
        <v>2023</v>
      </c>
      <c r="C12" t="str">
        <f t="shared" si="1"/>
        <v>November</v>
      </c>
      <c r="D12" t="s">
        <v>35</v>
      </c>
      <c r="E12" t="s">
        <v>19</v>
      </c>
      <c r="F12" t="s">
        <v>27</v>
      </c>
      <c r="G12" t="s">
        <v>36</v>
      </c>
      <c r="H12" t="str">
        <f t="shared" si="2"/>
        <v>High</v>
      </c>
      <c r="I12">
        <v>3368</v>
      </c>
      <c r="J12">
        <v>493.71</v>
      </c>
      <c r="K12" s="3">
        <f t="shared" si="3"/>
        <v>0.14658847980997625</v>
      </c>
      <c r="L12">
        <v>8</v>
      </c>
      <c r="M12" t="s">
        <v>22</v>
      </c>
    </row>
    <row r="13" spans="1:16" x14ac:dyDescent="0.25">
      <c r="A13">
        <v>1012</v>
      </c>
      <c r="B13">
        <f t="shared" si="0"/>
        <v>2023</v>
      </c>
      <c r="C13" t="str">
        <f t="shared" si="1"/>
        <v>October</v>
      </c>
      <c r="D13" t="s">
        <v>37</v>
      </c>
      <c r="E13" t="s">
        <v>24</v>
      </c>
      <c r="F13" t="s">
        <v>11</v>
      </c>
      <c r="G13" t="s">
        <v>15</v>
      </c>
      <c r="H13" t="str">
        <f t="shared" si="2"/>
        <v>Medium</v>
      </c>
      <c r="I13">
        <v>462</v>
      </c>
      <c r="J13">
        <v>161.37</v>
      </c>
      <c r="K13" s="3">
        <f t="shared" si="3"/>
        <v>0.34928571428571431</v>
      </c>
      <c r="L13">
        <v>7</v>
      </c>
      <c r="M13" t="s">
        <v>13</v>
      </c>
    </row>
    <row r="14" spans="1:16" x14ac:dyDescent="0.25">
      <c r="A14">
        <v>1013</v>
      </c>
      <c r="B14">
        <f t="shared" si="0"/>
        <v>2023</v>
      </c>
      <c r="C14" t="str">
        <f t="shared" si="1"/>
        <v>January</v>
      </c>
      <c r="D14" t="s">
        <v>38</v>
      </c>
      <c r="E14" t="s">
        <v>19</v>
      </c>
      <c r="F14" t="s">
        <v>20</v>
      </c>
      <c r="G14" t="s">
        <v>39</v>
      </c>
      <c r="H14" t="str">
        <f t="shared" si="2"/>
        <v>High</v>
      </c>
      <c r="I14">
        <v>786</v>
      </c>
      <c r="J14">
        <v>230.98</v>
      </c>
      <c r="K14" s="3">
        <f t="shared" si="3"/>
        <v>0.29386768447837147</v>
      </c>
      <c r="L14">
        <v>2</v>
      </c>
      <c r="M14" t="s">
        <v>30</v>
      </c>
    </row>
    <row r="15" spans="1:16" x14ac:dyDescent="0.25">
      <c r="A15">
        <v>1014</v>
      </c>
      <c r="B15">
        <f t="shared" si="0"/>
        <v>2023</v>
      </c>
      <c r="C15" t="str">
        <f t="shared" si="1"/>
        <v>November</v>
      </c>
      <c r="D15" t="s">
        <v>40</v>
      </c>
      <c r="E15" t="s">
        <v>19</v>
      </c>
      <c r="F15" t="s">
        <v>27</v>
      </c>
      <c r="G15" t="s">
        <v>28</v>
      </c>
      <c r="H15" t="str">
        <f t="shared" si="2"/>
        <v>High</v>
      </c>
      <c r="I15">
        <v>3256</v>
      </c>
      <c r="J15">
        <v>1017.21</v>
      </c>
      <c r="K15" s="3">
        <f t="shared" si="3"/>
        <v>0.3124109336609337</v>
      </c>
      <c r="L15">
        <v>8</v>
      </c>
      <c r="M15" t="s">
        <v>22</v>
      </c>
    </row>
    <row r="16" spans="1:16" x14ac:dyDescent="0.25">
      <c r="A16">
        <v>1015</v>
      </c>
      <c r="B16">
        <f t="shared" si="0"/>
        <v>2023</v>
      </c>
      <c r="C16" t="str">
        <f t="shared" si="1"/>
        <v>June</v>
      </c>
      <c r="D16" t="s">
        <v>41</v>
      </c>
      <c r="E16" t="s">
        <v>24</v>
      </c>
      <c r="F16" t="s">
        <v>20</v>
      </c>
      <c r="G16" t="s">
        <v>42</v>
      </c>
      <c r="H16" t="str">
        <f t="shared" si="2"/>
        <v>High</v>
      </c>
      <c r="I16">
        <v>1362</v>
      </c>
      <c r="J16">
        <v>275.81</v>
      </c>
      <c r="K16" s="3">
        <f t="shared" si="3"/>
        <v>0.20250367107195302</v>
      </c>
      <c r="L16">
        <v>2</v>
      </c>
      <c r="M16" t="s">
        <v>13</v>
      </c>
    </row>
    <row r="17" spans="1:13" x14ac:dyDescent="0.25">
      <c r="A17">
        <v>1016</v>
      </c>
      <c r="B17">
        <f t="shared" si="0"/>
        <v>2023</v>
      </c>
      <c r="C17" t="str">
        <f t="shared" si="1"/>
        <v>February</v>
      </c>
      <c r="D17" t="s">
        <v>43</v>
      </c>
      <c r="E17" t="s">
        <v>17</v>
      </c>
      <c r="F17" t="s">
        <v>11</v>
      </c>
      <c r="G17" t="s">
        <v>44</v>
      </c>
      <c r="H17" t="str">
        <f t="shared" si="2"/>
        <v>Medium</v>
      </c>
      <c r="I17">
        <v>300</v>
      </c>
      <c r="J17">
        <v>36.380000000000003</v>
      </c>
      <c r="K17" s="3">
        <f t="shared" si="3"/>
        <v>0.12126666666666668</v>
      </c>
      <c r="L17">
        <v>5</v>
      </c>
      <c r="M17" t="s">
        <v>13</v>
      </c>
    </row>
    <row r="18" spans="1:13" x14ac:dyDescent="0.25">
      <c r="A18">
        <v>1017</v>
      </c>
      <c r="B18">
        <f t="shared" si="0"/>
        <v>2023</v>
      </c>
      <c r="C18" t="str">
        <f t="shared" si="1"/>
        <v>June</v>
      </c>
      <c r="D18" t="s">
        <v>45</v>
      </c>
      <c r="E18" t="s">
        <v>10</v>
      </c>
      <c r="F18" t="s">
        <v>20</v>
      </c>
      <c r="G18" t="s">
        <v>39</v>
      </c>
      <c r="H18" t="str">
        <f t="shared" si="2"/>
        <v>High</v>
      </c>
      <c r="I18">
        <v>952</v>
      </c>
      <c r="J18">
        <v>302.02999999999997</v>
      </c>
      <c r="K18" s="3">
        <f t="shared" si="3"/>
        <v>0.31725840336134453</v>
      </c>
      <c r="L18">
        <v>8</v>
      </c>
      <c r="M18" t="s">
        <v>13</v>
      </c>
    </row>
    <row r="19" spans="1:13" x14ac:dyDescent="0.25">
      <c r="A19">
        <v>1018</v>
      </c>
      <c r="B19">
        <f t="shared" si="0"/>
        <v>2023</v>
      </c>
      <c r="C19" t="str">
        <f t="shared" si="1"/>
        <v>October</v>
      </c>
      <c r="D19" t="s">
        <v>46</v>
      </c>
      <c r="E19" t="s">
        <v>10</v>
      </c>
      <c r="F19" t="s">
        <v>27</v>
      </c>
      <c r="G19" t="s">
        <v>36</v>
      </c>
      <c r="H19" t="str">
        <f t="shared" si="2"/>
        <v>High</v>
      </c>
      <c r="I19">
        <v>1798</v>
      </c>
      <c r="J19">
        <v>539.99</v>
      </c>
      <c r="K19" s="3">
        <f t="shared" si="3"/>
        <v>0.30032814238042271</v>
      </c>
      <c r="L19">
        <v>2</v>
      </c>
      <c r="M19" t="s">
        <v>30</v>
      </c>
    </row>
    <row r="20" spans="1:13" x14ac:dyDescent="0.25">
      <c r="A20">
        <v>1019</v>
      </c>
      <c r="B20">
        <f t="shared" si="0"/>
        <v>2023</v>
      </c>
      <c r="C20" t="str">
        <f t="shared" si="1"/>
        <v>September</v>
      </c>
      <c r="D20" t="s">
        <v>47</v>
      </c>
      <c r="E20" t="s">
        <v>17</v>
      </c>
      <c r="F20" t="s">
        <v>11</v>
      </c>
      <c r="G20" t="s">
        <v>33</v>
      </c>
      <c r="H20" t="str">
        <f t="shared" si="2"/>
        <v>High</v>
      </c>
      <c r="I20">
        <v>1305</v>
      </c>
      <c r="J20">
        <v>411.8</v>
      </c>
      <c r="K20" s="3">
        <f t="shared" si="3"/>
        <v>0.31555555555555559</v>
      </c>
      <c r="L20">
        <v>9</v>
      </c>
      <c r="M20" t="s">
        <v>13</v>
      </c>
    </row>
    <row r="21" spans="1:13" x14ac:dyDescent="0.25">
      <c r="A21">
        <v>1020</v>
      </c>
      <c r="B21">
        <f t="shared" si="0"/>
        <v>2023</v>
      </c>
      <c r="C21" t="str">
        <f t="shared" si="1"/>
        <v>June</v>
      </c>
      <c r="D21" t="s">
        <v>48</v>
      </c>
      <c r="E21" t="s">
        <v>17</v>
      </c>
      <c r="F21" t="s">
        <v>27</v>
      </c>
      <c r="G21" t="s">
        <v>36</v>
      </c>
      <c r="H21" t="str">
        <f t="shared" si="2"/>
        <v>High</v>
      </c>
      <c r="I21">
        <v>4186</v>
      </c>
      <c r="J21">
        <v>845.16</v>
      </c>
      <c r="K21" s="3">
        <f t="shared" si="3"/>
        <v>0.20190157668418537</v>
      </c>
      <c r="L21">
        <v>7</v>
      </c>
      <c r="M21" t="s">
        <v>13</v>
      </c>
    </row>
    <row r="22" spans="1:13" x14ac:dyDescent="0.25">
      <c r="A22">
        <v>1021</v>
      </c>
      <c r="B22">
        <f t="shared" si="0"/>
        <v>2023</v>
      </c>
      <c r="C22" t="str">
        <f t="shared" si="1"/>
        <v>January</v>
      </c>
      <c r="D22" t="s">
        <v>49</v>
      </c>
      <c r="E22" t="s">
        <v>10</v>
      </c>
      <c r="F22" t="s">
        <v>20</v>
      </c>
      <c r="G22" t="s">
        <v>21</v>
      </c>
      <c r="H22" t="str">
        <f t="shared" si="2"/>
        <v>High</v>
      </c>
      <c r="I22">
        <v>5510</v>
      </c>
      <c r="J22">
        <v>451.5</v>
      </c>
      <c r="K22" s="3">
        <f t="shared" si="3"/>
        <v>8.1941923774954628E-2</v>
      </c>
      <c r="L22">
        <v>10</v>
      </c>
      <c r="M22" t="s">
        <v>22</v>
      </c>
    </row>
    <row r="23" spans="1:13" x14ac:dyDescent="0.25">
      <c r="A23">
        <v>1022</v>
      </c>
      <c r="B23">
        <f t="shared" si="0"/>
        <v>2023</v>
      </c>
      <c r="C23" t="str">
        <f t="shared" si="1"/>
        <v>January</v>
      </c>
      <c r="D23" t="s">
        <v>50</v>
      </c>
      <c r="E23" t="s">
        <v>17</v>
      </c>
      <c r="F23" t="s">
        <v>11</v>
      </c>
      <c r="G23" t="s">
        <v>12</v>
      </c>
      <c r="H23" t="str">
        <f t="shared" si="2"/>
        <v>Medium</v>
      </c>
      <c r="I23">
        <v>420</v>
      </c>
      <c r="J23">
        <v>65.180000000000007</v>
      </c>
      <c r="K23" s="3">
        <f t="shared" si="3"/>
        <v>0.15519047619047621</v>
      </c>
      <c r="L23">
        <v>6</v>
      </c>
      <c r="M23" t="s">
        <v>30</v>
      </c>
    </row>
    <row r="24" spans="1:13" x14ac:dyDescent="0.25">
      <c r="A24">
        <v>1023</v>
      </c>
      <c r="B24">
        <f t="shared" si="0"/>
        <v>2023</v>
      </c>
      <c r="C24" t="str">
        <f t="shared" si="1"/>
        <v>October</v>
      </c>
      <c r="D24" t="s">
        <v>51</v>
      </c>
      <c r="E24" t="s">
        <v>17</v>
      </c>
      <c r="F24" t="s">
        <v>27</v>
      </c>
      <c r="G24" t="s">
        <v>36</v>
      </c>
      <c r="H24" t="str">
        <f t="shared" si="2"/>
        <v>High</v>
      </c>
      <c r="I24">
        <v>3980</v>
      </c>
      <c r="J24">
        <v>1186.1400000000001</v>
      </c>
      <c r="K24" s="3">
        <f t="shared" si="3"/>
        <v>0.29802512562814071</v>
      </c>
      <c r="L24">
        <v>10</v>
      </c>
      <c r="M24" t="s">
        <v>13</v>
      </c>
    </row>
    <row r="25" spans="1:13" x14ac:dyDescent="0.25">
      <c r="A25">
        <v>1024</v>
      </c>
      <c r="B25">
        <f t="shared" si="0"/>
        <v>2023</v>
      </c>
      <c r="C25" t="str">
        <f t="shared" si="1"/>
        <v>August</v>
      </c>
      <c r="D25" t="s">
        <v>52</v>
      </c>
      <c r="E25" t="s">
        <v>10</v>
      </c>
      <c r="F25" t="s">
        <v>20</v>
      </c>
      <c r="G25" t="s">
        <v>42</v>
      </c>
      <c r="H25" t="str">
        <f t="shared" si="2"/>
        <v>High</v>
      </c>
      <c r="I25">
        <v>5682</v>
      </c>
      <c r="J25">
        <v>1779.81</v>
      </c>
      <c r="K25" s="3">
        <f t="shared" si="3"/>
        <v>0.31323653643083421</v>
      </c>
      <c r="L25">
        <v>6</v>
      </c>
      <c r="M25" t="s">
        <v>13</v>
      </c>
    </row>
    <row r="26" spans="1:13" x14ac:dyDescent="0.25">
      <c r="A26">
        <v>1025</v>
      </c>
      <c r="B26">
        <f t="shared" si="0"/>
        <v>2023</v>
      </c>
      <c r="C26" t="str">
        <f t="shared" si="1"/>
        <v>June</v>
      </c>
      <c r="D26" t="s">
        <v>53</v>
      </c>
      <c r="E26" t="s">
        <v>10</v>
      </c>
      <c r="F26" t="s">
        <v>20</v>
      </c>
      <c r="G26" t="s">
        <v>42</v>
      </c>
      <c r="H26" t="str">
        <f t="shared" si="2"/>
        <v>High</v>
      </c>
      <c r="I26">
        <v>1178</v>
      </c>
      <c r="J26">
        <v>264.81</v>
      </c>
      <c r="K26" s="3">
        <f t="shared" si="3"/>
        <v>0.2247962648556876</v>
      </c>
      <c r="L26">
        <v>2</v>
      </c>
      <c r="M26" t="s">
        <v>22</v>
      </c>
    </row>
    <row r="27" spans="1:13" x14ac:dyDescent="0.25">
      <c r="A27">
        <v>1026</v>
      </c>
      <c r="B27">
        <f t="shared" si="0"/>
        <v>2023</v>
      </c>
      <c r="C27" t="str">
        <f t="shared" si="1"/>
        <v>August</v>
      </c>
      <c r="D27" t="s">
        <v>54</v>
      </c>
      <c r="E27" t="s">
        <v>17</v>
      </c>
      <c r="F27" t="s">
        <v>20</v>
      </c>
      <c r="G27" t="s">
        <v>55</v>
      </c>
      <c r="H27" t="str">
        <f t="shared" si="2"/>
        <v>High</v>
      </c>
      <c r="I27">
        <v>936</v>
      </c>
      <c r="J27">
        <v>99.62</v>
      </c>
      <c r="K27" s="3">
        <f t="shared" si="3"/>
        <v>0.10643162393162393</v>
      </c>
      <c r="L27">
        <v>4</v>
      </c>
      <c r="M27" t="s">
        <v>22</v>
      </c>
    </row>
    <row r="28" spans="1:13" x14ac:dyDescent="0.25">
      <c r="A28">
        <v>1027</v>
      </c>
      <c r="B28">
        <f t="shared" si="0"/>
        <v>2023</v>
      </c>
      <c r="C28" t="str">
        <f t="shared" si="1"/>
        <v>May</v>
      </c>
      <c r="D28" t="s">
        <v>56</v>
      </c>
      <c r="E28" t="s">
        <v>10</v>
      </c>
      <c r="F28" t="s">
        <v>11</v>
      </c>
      <c r="G28" t="s">
        <v>15</v>
      </c>
      <c r="H28" t="str">
        <f t="shared" si="2"/>
        <v>Medium</v>
      </c>
      <c r="I28">
        <v>399</v>
      </c>
      <c r="J28">
        <v>54.95</v>
      </c>
      <c r="K28" s="3">
        <f t="shared" si="3"/>
        <v>0.13771929824561405</v>
      </c>
      <c r="L28">
        <v>3</v>
      </c>
      <c r="M28" t="s">
        <v>30</v>
      </c>
    </row>
    <row r="29" spans="1:13" x14ac:dyDescent="0.25">
      <c r="A29">
        <v>1028</v>
      </c>
      <c r="B29">
        <f t="shared" si="0"/>
        <v>2023</v>
      </c>
      <c r="C29" t="str">
        <f t="shared" si="1"/>
        <v>January</v>
      </c>
      <c r="D29" t="s">
        <v>57</v>
      </c>
      <c r="E29" t="s">
        <v>17</v>
      </c>
      <c r="F29" t="s">
        <v>27</v>
      </c>
      <c r="G29" t="s">
        <v>28</v>
      </c>
      <c r="H29" t="str">
        <f t="shared" si="2"/>
        <v>High</v>
      </c>
      <c r="I29">
        <v>4305</v>
      </c>
      <c r="J29">
        <v>836.08</v>
      </c>
      <c r="K29" s="3">
        <f t="shared" si="3"/>
        <v>0.19421138211382113</v>
      </c>
      <c r="L29">
        <v>7</v>
      </c>
      <c r="M29" t="s">
        <v>22</v>
      </c>
    </row>
    <row r="30" spans="1:13" x14ac:dyDescent="0.25">
      <c r="A30">
        <v>1029</v>
      </c>
      <c r="B30">
        <f t="shared" si="0"/>
        <v>2023</v>
      </c>
      <c r="C30" t="str">
        <f t="shared" si="1"/>
        <v>April</v>
      </c>
      <c r="D30" t="s">
        <v>58</v>
      </c>
      <c r="E30" t="s">
        <v>19</v>
      </c>
      <c r="F30" t="s">
        <v>11</v>
      </c>
      <c r="G30" t="s">
        <v>15</v>
      </c>
      <c r="H30" t="str">
        <f t="shared" si="2"/>
        <v>High</v>
      </c>
      <c r="I30">
        <v>790</v>
      </c>
      <c r="J30">
        <v>220.13</v>
      </c>
      <c r="K30" s="3">
        <f t="shared" si="3"/>
        <v>0.27864556962025316</v>
      </c>
      <c r="L30">
        <v>5</v>
      </c>
      <c r="M30" t="s">
        <v>30</v>
      </c>
    </row>
    <row r="31" spans="1:13" x14ac:dyDescent="0.25">
      <c r="A31">
        <v>1030</v>
      </c>
      <c r="B31">
        <f t="shared" si="0"/>
        <v>2023</v>
      </c>
      <c r="C31" t="str">
        <f t="shared" si="1"/>
        <v>October</v>
      </c>
      <c r="D31" t="s">
        <v>37</v>
      </c>
      <c r="E31" t="s">
        <v>10</v>
      </c>
      <c r="F31" t="s">
        <v>20</v>
      </c>
      <c r="G31" t="s">
        <v>25</v>
      </c>
      <c r="H31" t="str">
        <f t="shared" si="2"/>
        <v>High</v>
      </c>
      <c r="I31">
        <v>8872</v>
      </c>
      <c r="J31">
        <v>846.01</v>
      </c>
      <c r="K31" s="3">
        <f t="shared" si="3"/>
        <v>9.5357303877367003E-2</v>
      </c>
      <c r="L31">
        <v>8</v>
      </c>
      <c r="M31" t="s">
        <v>30</v>
      </c>
    </row>
    <row r="32" spans="1:13" x14ac:dyDescent="0.25">
      <c r="A32">
        <v>1031</v>
      </c>
      <c r="B32">
        <f t="shared" si="0"/>
        <v>2023</v>
      </c>
      <c r="C32" t="str">
        <f t="shared" si="1"/>
        <v>November</v>
      </c>
      <c r="D32" t="s">
        <v>59</v>
      </c>
      <c r="E32" t="s">
        <v>17</v>
      </c>
      <c r="F32" t="s">
        <v>11</v>
      </c>
      <c r="G32" t="s">
        <v>12</v>
      </c>
      <c r="H32" t="str">
        <f t="shared" si="2"/>
        <v>Low</v>
      </c>
      <c r="I32">
        <v>80</v>
      </c>
      <c r="J32">
        <v>26.74</v>
      </c>
      <c r="K32" s="3">
        <f t="shared" si="3"/>
        <v>0.33424999999999999</v>
      </c>
      <c r="L32">
        <v>2</v>
      </c>
      <c r="M32" t="s">
        <v>30</v>
      </c>
    </row>
    <row r="33" spans="1:13" x14ac:dyDescent="0.25">
      <c r="A33">
        <v>1032</v>
      </c>
      <c r="B33">
        <f t="shared" si="0"/>
        <v>2023</v>
      </c>
      <c r="C33" t="str">
        <f t="shared" si="1"/>
        <v>February</v>
      </c>
      <c r="D33" t="s">
        <v>60</v>
      </c>
      <c r="E33" t="s">
        <v>10</v>
      </c>
      <c r="F33" t="s">
        <v>11</v>
      </c>
      <c r="G33" t="s">
        <v>33</v>
      </c>
      <c r="H33" t="str">
        <f t="shared" si="2"/>
        <v>Medium</v>
      </c>
      <c r="I33">
        <v>532</v>
      </c>
      <c r="J33">
        <v>71.900000000000006</v>
      </c>
      <c r="K33" s="3">
        <f t="shared" si="3"/>
        <v>0.13515037593984963</v>
      </c>
      <c r="L33">
        <v>7</v>
      </c>
      <c r="M33" t="s">
        <v>13</v>
      </c>
    </row>
    <row r="34" spans="1:13" x14ac:dyDescent="0.25">
      <c r="A34">
        <v>1033</v>
      </c>
      <c r="B34">
        <f t="shared" si="0"/>
        <v>2023</v>
      </c>
      <c r="C34" t="str">
        <f t="shared" si="1"/>
        <v>July</v>
      </c>
      <c r="D34" t="s">
        <v>61</v>
      </c>
      <c r="E34" t="s">
        <v>17</v>
      </c>
      <c r="F34" t="s">
        <v>11</v>
      </c>
      <c r="G34" t="s">
        <v>44</v>
      </c>
      <c r="H34" t="str">
        <f t="shared" si="2"/>
        <v>Medium</v>
      </c>
      <c r="I34">
        <v>270</v>
      </c>
      <c r="J34">
        <v>89.33</v>
      </c>
      <c r="K34" s="3">
        <f t="shared" si="3"/>
        <v>0.33085185185185184</v>
      </c>
      <c r="L34">
        <v>3</v>
      </c>
      <c r="M34" t="s">
        <v>22</v>
      </c>
    </row>
    <row r="35" spans="1:13" x14ac:dyDescent="0.25">
      <c r="A35">
        <v>1034</v>
      </c>
      <c r="B35">
        <f t="shared" si="0"/>
        <v>2023</v>
      </c>
      <c r="C35" t="str">
        <f t="shared" si="1"/>
        <v>October</v>
      </c>
      <c r="D35" t="s">
        <v>62</v>
      </c>
      <c r="E35" t="s">
        <v>19</v>
      </c>
      <c r="F35" t="s">
        <v>20</v>
      </c>
      <c r="G35" t="s">
        <v>42</v>
      </c>
      <c r="H35" t="str">
        <f t="shared" si="2"/>
        <v>Medium</v>
      </c>
      <c r="I35">
        <v>460</v>
      </c>
      <c r="J35">
        <v>99.63</v>
      </c>
      <c r="K35" s="3">
        <f t="shared" si="3"/>
        <v>0.21658695652173912</v>
      </c>
      <c r="L35">
        <v>2</v>
      </c>
      <c r="M35" t="s">
        <v>13</v>
      </c>
    </row>
    <row r="36" spans="1:13" x14ac:dyDescent="0.25">
      <c r="A36">
        <v>1035</v>
      </c>
      <c r="B36">
        <f t="shared" si="0"/>
        <v>2023</v>
      </c>
      <c r="C36" t="str">
        <f t="shared" si="1"/>
        <v>July</v>
      </c>
      <c r="D36" t="s">
        <v>63</v>
      </c>
      <c r="E36" t="s">
        <v>10</v>
      </c>
      <c r="F36" t="s">
        <v>20</v>
      </c>
      <c r="G36" t="s">
        <v>25</v>
      </c>
      <c r="H36" t="str">
        <f t="shared" si="2"/>
        <v>High</v>
      </c>
      <c r="I36">
        <v>2015</v>
      </c>
      <c r="J36">
        <v>543.96</v>
      </c>
      <c r="K36" s="3">
        <f t="shared" si="3"/>
        <v>0.26995533498759305</v>
      </c>
      <c r="L36">
        <v>5</v>
      </c>
      <c r="M36" t="s">
        <v>30</v>
      </c>
    </row>
    <row r="37" spans="1:13" x14ac:dyDescent="0.25">
      <c r="A37">
        <v>1036</v>
      </c>
      <c r="B37">
        <f t="shared" si="0"/>
        <v>2023</v>
      </c>
      <c r="C37" t="str">
        <f t="shared" si="1"/>
        <v>October</v>
      </c>
      <c r="D37" t="s">
        <v>64</v>
      </c>
      <c r="E37" t="s">
        <v>10</v>
      </c>
      <c r="F37" t="s">
        <v>11</v>
      </c>
      <c r="G37" t="s">
        <v>15</v>
      </c>
      <c r="H37" t="str">
        <f t="shared" si="2"/>
        <v>Medium</v>
      </c>
      <c r="I37">
        <v>385</v>
      </c>
      <c r="J37">
        <v>42.8</v>
      </c>
      <c r="K37" s="3">
        <f t="shared" si="3"/>
        <v>0.11116883116883117</v>
      </c>
      <c r="L37">
        <v>5</v>
      </c>
      <c r="M37" t="s">
        <v>13</v>
      </c>
    </row>
    <row r="38" spans="1:13" x14ac:dyDescent="0.25">
      <c r="A38">
        <v>1037</v>
      </c>
      <c r="B38">
        <f t="shared" si="0"/>
        <v>2023</v>
      </c>
      <c r="C38" t="str">
        <f t="shared" si="1"/>
        <v>May</v>
      </c>
      <c r="D38" t="s">
        <v>65</v>
      </c>
      <c r="E38" t="s">
        <v>17</v>
      </c>
      <c r="F38" t="s">
        <v>20</v>
      </c>
      <c r="G38" t="s">
        <v>39</v>
      </c>
      <c r="H38" t="str">
        <f t="shared" si="2"/>
        <v>High</v>
      </c>
      <c r="I38">
        <v>5110</v>
      </c>
      <c r="J38">
        <v>689.7</v>
      </c>
      <c r="K38" s="3">
        <f t="shared" si="3"/>
        <v>0.1349706457925636</v>
      </c>
      <c r="L38">
        <v>10</v>
      </c>
      <c r="M38" t="s">
        <v>22</v>
      </c>
    </row>
    <row r="39" spans="1:13" x14ac:dyDescent="0.25">
      <c r="A39">
        <v>1038</v>
      </c>
      <c r="B39">
        <f t="shared" si="0"/>
        <v>2023</v>
      </c>
      <c r="C39" t="str">
        <f t="shared" si="1"/>
        <v>January</v>
      </c>
      <c r="D39" t="s">
        <v>66</v>
      </c>
      <c r="E39" t="s">
        <v>19</v>
      </c>
      <c r="F39" t="s">
        <v>11</v>
      </c>
      <c r="G39" t="s">
        <v>44</v>
      </c>
      <c r="H39" t="str">
        <f t="shared" si="2"/>
        <v>Low</v>
      </c>
      <c r="I39">
        <v>42</v>
      </c>
      <c r="J39">
        <v>3.4</v>
      </c>
      <c r="K39" s="3">
        <f t="shared" si="3"/>
        <v>8.0952380952380956E-2</v>
      </c>
      <c r="L39">
        <v>2</v>
      </c>
      <c r="M39" t="s">
        <v>22</v>
      </c>
    </row>
    <row r="40" spans="1:13" x14ac:dyDescent="0.25">
      <c r="A40">
        <v>1039</v>
      </c>
      <c r="B40">
        <f t="shared" si="0"/>
        <v>2023</v>
      </c>
      <c r="C40" t="str">
        <f t="shared" si="1"/>
        <v>August</v>
      </c>
      <c r="D40" t="s">
        <v>67</v>
      </c>
      <c r="E40" t="s">
        <v>17</v>
      </c>
      <c r="F40" t="s">
        <v>20</v>
      </c>
      <c r="G40" t="s">
        <v>25</v>
      </c>
      <c r="H40" t="str">
        <f t="shared" si="2"/>
        <v>High</v>
      </c>
      <c r="I40">
        <v>8595</v>
      </c>
      <c r="J40">
        <v>947.22</v>
      </c>
      <c r="K40" s="3">
        <f t="shared" si="3"/>
        <v>0.11020593368237347</v>
      </c>
      <c r="L40">
        <v>9</v>
      </c>
      <c r="M40" t="s">
        <v>13</v>
      </c>
    </row>
    <row r="41" spans="1:13" x14ac:dyDescent="0.25">
      <c r="A41">
        <v>1040</v>
      </c>
      <c r="B41">
        <f t="shared" si="0"/>
        <v>2023</v>
      </c>
      <c r="C41" t="str">
        <f t="shared" si="1"/>
        <v>October</v>
      </c>
      <c r="D41" t="s">
        <v>68</v>
      </c>
      <c r="E41" t="s">
        <v>10</v>
      </c>
      <c r="F41" t="s">
        <v>11</v>
      </c>
      <c r="G41" t="s">
        <v>33</v>
      </c>
      <c r="H41" t="str">
        <f t="shared" si="2"/>
        <v>Medium</v>
      </c>
      <c r="I41">
        <v>378</v>
      </c>
      <c r="J41">
        <v>34.51</v>
      </c>
      <c r="K41" s="3">
        <f t="shared" si="3"/>
        <v>9.1296296296296292E-2</v>
      </c>
      <c r="L41">
        <v>9</v>
      </c>
      <c r="M41" t="s">
        <v>22</v>
      </c>
    </row>
    <row r="42" spans="1:13" x14ac:dyDescent="0.25">
      <c r="A42">
        <v>1041</v>
      </c>
      <c r="B42">
        <f t="shared" si="0"/>
        <v>2023</v>
      </c>
      <c r="C42" t="str">
        <f t="shared" si="1"/>
        <v>December</v>
      </c>
      <c r="D42" t="s">
        <v>69</v>
      </c>
      <c r="E42" t="s">
        <v>24</v>
      </c>
      <c r="F42" t="s">
        <v>27</v>
      </c>
      <c r="G42" t="s">
        <v>28</v>
      </c>
      <c r="H42" t="str">
        <f t="shared" si="2"/>
        <v>High</v>
      </c>
      <c r="I42">
        <v>2048</v>
      </c>
      <c r="J42">
        <v>652.73</v>
      </c>
      <c r="K42" s="3">
        <f t="shared" si="3"/>
        <v>0.31871582031250001</v>
      </c>
      <c r="L42">
        <v>4</v>
      </c>
      <c r="M42" t="s">
        <v>30</v>
      </c>
    </row>
    <row r="43" spans="1:13" x14ac:dyDescent="0.25">
      <c r="A43">
        <v>1042</v>
      </c>
      <c r="B43">
        <f t="shared" si="0"/>
        <v>2023</v>
      </c>
      <c r="C43" t="str">
        <f t="shared" si="1"/>
        <v>April</v>
      </c>
      <c r="D43" t="s">
        <v>70</v>
      </c>
      <c r="E43" t="s">
        <v>17</v>
      </c>
      <c r="F43" t="s">
        <v>27</v>
      </c>
      <c r="G43" t="s">
        <v>36</v>
      </c>
      <c r="H43" t="str">
        <f t="shared" si="2"/>
        <v>High</v>
      </c>
      <c r="I43">
        <v>2331</v>
      </c>
      <c r="J43">
        <v>768.32</v>
      </c>
      <c r="K43" s="3">
        <f t="shared" si="3"/>
        <v>0.32960960960960961</v>
      </c>
      <c r="L43">
        <v>7</v>
      </c>
      <c r="M43" t="s">
        <v>30</v>
      </c>
    </row>
    <row r="44" spans="1:13" x14ac:dyDescent="0.25">
      <c r="A44">
        <v>1043</v>
      </c>
      <c r="B44">
        <f t="shared" si="0"/>
        <v>2023</v>
      </c>
      <c r="C44" t="str">
        <f t="shared" si="1"/>
        <v>December</v>
      </c>
      <c r="D44" t="s">
        <v>71</v>
      </c>
      <c r="E44" t="s">
        <v>24</v>
      </c>
      <c r="F44" t="s">
        <v>27</v>
      </c>
      <c r="G44" t="s">
        <v>36</v>
      </c>
      <c r="H44" t="str">
        <f t="shared" si="2"/>
        <v>Medium</v>
      </c>
      <c r="I44">
        <v>378</v>
      </c>
      <c r="J44">
        <v>52.94</v>
      </c>
      <c r="K44" s="3">
        <f t="shared" si="3"/>
        <v>0.14005291005291004</v>
      </c>
      <c r="L44">
        <v>2</v>
      </c>
      <c r="M44" t="s">
        <v>30</v>
      </c>
    </row>
    <row r="45" spans="1:13" x14ac:dyDescent="0.25">
      <c r="A45">
        <v>1044</v>
      </c>
      <c r="B45">
        <f t="shared" si="0"/>
        <v>2023</v>
      </c>
      <c r="C45" t="str">
        <f t="shared" si="1"/>
        <v>April</v>
      </c>
      <c r="D45" t="s">
        <v>72</v>
      </c>
      <c r="E45" t="s">
        <v>24</v>
      </c>
      <c r="F45" t="s">
        <v>27</v>
      </c>
      <c r="G45" t="s">
        <v>73</v>
      </c>
      <c r="H45" t="str">
        <f t="shared" si="2"/>
        <v>Medium</v>
      </c>
      <c r="I45">
        <v>558</v>
      </c>
      <c r="J45">
        <v>86.61</v>
      </c>
      <c r="K45" s="3">
        <f t="shared" si="3"/>
        <v>0.15521505376344086</v>
      </c>
      <c r="L45">
        <v>1</v>
      </c>
      <c r="M45" t="s">
        <v>30</v>
      </c>
    </row>
    <row r="46" spans="1:13" x14ac:dyDescent="0.25">
      <c r="A46">
        <v>1045</v>
      </c>
      <c r="B46">
        <f t="shared" si="0"/>
        <v>2023</v>
      </c>
      <c r="C46" t="str">
        <f t="shared" si="1"/>
        <v>September</v>
      </c>
      <c r="D46" t="s">
        <v>74</v>
      </c>
      <c r="E46" t="s">
        <v>24</v>
      </c>
      <c r="F46" t="s">
        <v>20</v>
      </c>
      <c r="G46" t="s">
        <v>25</v>
      </c>
      <c r="H46" t="str">
        <f t="shared" si="2"/>
        <v>High</v>
      </c>
      <c r="I46">
        <v>8246</v>
      </c>
      <c r="J46">
        <v>916.48</v>
      </c>
      <c r="K46" s="3">
        <f t="shared" si="3"/>
        <v>0.11114237205918021</v>
      </c>
      <c r="L46">
        <v>7</v>
      </c>
      <c r="M46" t="s">
        <v>13</v>
      </c>
    </row>
    <row r="47" spans="1:13" x14ac:dyDescent="0.25">
      <c r="A47">
        <v>1046</v>
      </c>
      <c r="B47">
        <f t="shared" si="0"/>
        <v>2023</v>
      </c>
      <c r="C47" t="str">
        <f t="shared" si="1"/>
        <v>February</v>
      </c>
      <c r="D47" t="s">
        <v>75</v>
      </c>
      <c r="E47" t="s">
        <v>24</v>
      </c>
      <c r="F47" t="s">
        <v>27</v>
      </c>
      <c r="G47" t="s">
        <v>36</v>
      </c>
      <c r="H47" t="str">
        <f t="shared" si="2"/>
        <v>High</v>
      </c>
      <c r="I47">
        <v>5030</v>
      </c>
      <c r="J47">
        <v>1470.45</v>
      </c>
      <c r="K47" s="3">
        <f t="shared" si="3"/>
        <v>0.29233598409542744</v>
      </c>
      <c r="L47">
        <v>10</v>
      </c>
      <c r="M47" t="s">
        <v>30</v>
      </c>
    </row>
    <row r="48" spans="1:13" x14ac:dyDescent="0.25">
      <c r="A48">
        <v>1047</v>
      </c>
      <c r="B48">
        <f t="shared" si="0"/>
        <v>2023</v>
      </c>
      <c r="C48" t="str">
        <f t="shared" si="1"/>
        <v>April</v>
      </c>
      <c r="D48" t="s">
        <v>58</v>
      </c>
      <c r="E48" t="s">
        <v>19</v>
      </c>
      <c r="F48" t="s">
        <v>27</v>
      </c>
      <c r="G48" t="s">
        <v>28</v>
      </c>
      <c r="H48" t="str">
        <f t="shared" si="2"/>
        <v>High</v>
      </c>
      <c r="I48">
        <v>4375</v>
      </c>
      <c r="J48">
        <v>352</v>
      </c>
      <c r="K48" s="3">
        <f t="shared" si="3"/>
        <v>8.0457142857142852E-2</v>
      </c>
      <c r="L48">
        <v>5</v>
      </c>
      <c r="M48" t="s">
        <v>13</v>
      </c>
    </row>
    <row r="49" spans="1:13" x14ac:dyDescent="0.25">
      <c r="A49">
        <v>1048</v>
      </c>
      <c r="B49">
        <f t="shared" si="0"/>
        <v>2023</v>
      </c>
      <c r="C49" t="str">
        <f t="shared" si="1"/>
        <v>February</v>
      </c>
      <c r="D49" t="s">
        <v>76</v>
      </c>
      <c r="E49" t="s">
        <v>24</v>
      </c>
      <c r="F49" t="s">
        <v>11</v>
      </c>
      <c r="G49" t="s">
        <v>33</v>
      </c>
      <c r="H49" t="str">
        <f t="shared" si="2"/>
        <v>Medium</v>
      </c>
      <c r="I49">
        <v>246</v>
      </c>
      <c r="J49">
        <v>67.489999999999995</v>
      </c>
      <c r="K49" s="3">
        <f t="shared" si="3"/>
        <v>0.27434959349593496</v>
      </c>
      <c r="L49">
        <v>6</v>
      </c>
      <c r="M49" t="s">
        <v>22</v>
      </c>
    </row>
    <row r="50" spans="1:13" x14ac:dyDescent="0.25">
      <c r="A50">
        <v>1049</v>
      </c>
      <c r="B50">
        <f t="shared" si="0"/>
        <v>2023</v>
      </c>
      <c r="C50" t="str">
        <f t="shared" si="1"/>
        <v>July</v>
      </c>
      <c r="D50" t="s">
        <v>77</v>
      </c>
      <c r="E50" t="s">
        <v>19</v>
      </c>
      <c r="F50" t="s">
        <v>27</v>
      </c>
      <c r="G50" t="s">
        <v>73</v>
      </c>
      <c r="H50" t="str">
        <f t="shared" si="2"/>
        <v>High</v>
      </c>
      <c r="I50">
        <v>1730</v>
      </c>
      <c r="J50">
        <v>448.99</v>
      </c>
      <c r="K50" s="3">
        <f t="shared" si="3"/>
        <v>0.25953179190751446</v>
      </c>
      <c r="L50">
        <v>5</v>
      </c>
      <c r="M50" t="s">
        <v>22</v>
      </c>
    </row>
    <row r="51" spans="1:13" x14ac:dyDescent="0.25">
      <c r="A51">
        <v>1050</v>
      </c>
      <c r="B51">
        <f t="shared" si="0"/>
        <v>2023</v>
      </c>
      <c r="C51" t="str">
        <f t="shared" si="1"/>
        <v>October</v>
      </c>
      <c r="D51" t="s">
        <v>78</v>
      </c>
      <c r="E51" t="s">
        <v>24</v>
      </c>
      <c r="F51" t="s">
        <v>27</v>
      </c>
      <c r="G51" t="s">
        <v>36</v>
      </c>
      <c r="H51" t="str">
        <f t="shared" si="2"/>
        <v>Medium</v>
      </c>
      <c r="I51">
        <v>443</v>
      </c>
      <c r="J51">
        <v>86.86</v>
      </c>
      <c r="K51" s="3">
        <f t="shared" si="3"/>
        <v>0.19607223476297969</v>
      </c>
      <c r="L51">
        <v>1</v>
      </c>
      <c r="M51" t="s">
        <v>22</v>
      </c>
    </row>
    <row r="52" spans="1:13" x14ac:dyDescent="0.25">
      <c r="A52">
        <v>1051</v>
      </c>
      <c r="B52">
        <f t="shared" si="0"/>
        <v>2023</v>
      </c>
      <c r="C52" t="str">
        <f t="shared" si="1"/>
        <v>August</v>
      </c>
      <c r="D52" t="s">
        <v>67</v>
      </c>
      <c r="E52" t="s">
        <v>24</v>
      </c>
      <c r="F52" t="s">
        <v>11</v>
      </c>
      <c r="G52" t="s">
        <v>15</v>
      </c>
      <c r="H52" t="str">
        <f t="shared" si="2"/>
        <v>High</v>
      </c>
      <c r="I52">
        <v>1048</v>
      </c>
      <c r="J52">
        <v>308.44</v>
      </c>
      <c r="K52" s="3">
        <f t="shared" si="3"/>
        <v>0.29431297709923665</v>
      </c>
      <c r="L52">
        <v>8</v>
      </c>
      <c r="M52" t="s">
        <v>22</v>
      </c>
    </row>
    <row r="53" spans="1:13" x14ac:dyDescent="0.25">
      <c r="A53">
        <v>1052</v>
      </c>
      <c r="B53">
        <f t="shared" si="0"/>
        <v>2023</v>
      </c>
      <c r="C53" t="str">
        <f t="shared" si="1"/>
        <v>September</v>
      </c>
      <c r="D53" t="s">
        <v>79</v>
      </c>
      <c r="E53" t="s">
        <v>10</v>
      </c>
      <c r="F53" t="s">
        <v>11</v>
      </c>
      <c r="G53" t="s">
        <v>33</v>
      </c>
      <c r="H53" t="str">
        <f t="shared" si="2"/>
        <v>High</v>
      </c>
      <c r="I53">
        <v>700</v>
      </c>
      <c r="J53">
        <v>183.16</v>
      </c>
      <c r="K53" s="3">
        <f t="shared" si="3"/>
        <v>0.26165714285714287</v>
      </c>
      <c r="L53">
        <v>10</v>
      </c>
      <c r="M53" t="s">
        <v>22</v>
      </c>
    </row>
    <row r="54" spans="1:13" x14ac:dyDescent="0.25">
      <c r="A54">
        <v>1053</v>
      </c>
      <c r="B54">
        <f t="shared" si="0"/>
        <v>2023</v>
      </c>
      <c r="C54" t="str">
        <f t="shared" si="1"/>
        <v>January</v>
      </c>
      <c r="D54" t="s">
        <v>80</v>
      </c>
      <c r="E54" t="s">
        <v>17</v>
      </c>
      <c r="F54" t="s">
        <v>20</v>
      </c>
      <c r="G54" t="s">
        <v>21</v>
      </c>
      <c r="H54" t="str">
        <f t="shared" si="2"/>
        <v>High</v>
      </c>
      <c r="I54">
        <v>4212</v>
      </c>
      <c r="J54">
        <v>854.88</v>
      </c>
      <c r="K54" s="3">
        <f t="shared" si="3"/>
        <v>0.20296296296296296</v>
      </c>
      <c r="L54">
        <v>4</v>
      </c>
      <c r="M54" t="s">
        <v>30</v>
      </c>
    </row>
    <row r="55" spans="1:13" x14ac:dyDescent="0.25">
      <c r="A55">
        <v>1054</v>
      </c>
      <c r="B55">
        <f t="shared" si="0"/>
        <v>2023</v>
      </c>
      <c r="C55" t="str">
        <f t="shared" si="1"/>
        <v>December</v>
      </c>
      <c r="D55" t="s">
        <v>81</v>
      </c>
      <c r="E55" t="s">
        <v>17</v>
      </c>
      <c r="F55" t="s">
        <v>11</v>
      </c>
      <c r="G55" t="s">
        <v>15</v>
      </c>
      <c r="H55" t="str">
        <f t="shared" si="2"/>
        <v>Medium</v>
      </c>
      <c r="I55">
        <v>504</v>
      </c>
      <c r="J55">
        <v>60.4</v>
      </c>
      <c r="K55" s="3">
        <f t="shared" si="3"/>
        <v>0.11984126984126983</v>
      </c>
      <c r="L55">
        <v>7</v>
      </c>
      <c r="M55" t="s">
        <v>13</v>
      </c>
    </row>
    <row r="56" spans="1:13" x14ac:dyDescent="0.25">
      <c r="A56">
        <v>1055</v>
      </c>
      <c r="B56">
        <f t="shared" si="0"/>
        <v>2023</v>
      </c>
      <c r="C56" t="str">
        <f t="shared" si="1"/>
        <v>April</v>
      </c>
      <c r="D56" t="s">
        <v>82</v>
      </c>
      <c r="E56" t="s">
        <v>10</v>
      </c>
      <c r="F56" t="s">
        <v>11</v>
      </c>
      <c r="G56" t="s">
        <v>12</v>
      </c>
      <c r="H56" t="str">
        <f t="shared" si="2"/>
        <v>Low</v>
      </c>
      <c r="I56">
        <v>66</v>
      </c>
      <c r="J56">
        <v>15.21</v>
      </c>
      <c r="K56" s="3">
        <f t="shared" si="3"/>
        <v>0.23045454545454547</v>
      </c>
      <c r="L56">
        <v>3</v>
      </c>
      <c r="M56" t="s">
        <v>22</v>
      </c>
    </row>
    <row r="57" spans="1:13" x14ac:dyDescent="0.25">
      <c r="A57">
        <v>1056</v>
      </c>
      <c r="B57">
        <f t="shared" si="0"/>
        <v>2023</v>
      </c>
      <c r="C57" t="str">
        <f t="shared" si="1"/>
        <v>December</v>
      </c>
      <c r="D57" t="s">
        <v>83</v>
      </c>
      <c r="E57" t="s">
        <v>17</v>
      </c>
      <c r="F57" t="s">
        <v>20</v>
      </c>
      <c r="G57" t="s">
        <v>55</v>
      </c>
      <c r="H57" t="str">
        <f t="shared" si="2"/>
        <v>High</v>
      </c>
      <c r="I57">
        <v>6561</v>
      </c>
      <c r="J57">
        <v>1968.64</v>
      </c>
      <c r="K57" s="3">
        <f t="shared" si="3"/>
        <v>0.30005182136869379</v>
      </c>
      <c r="L57">
        <v>9</v>
      </c>
      <c r="M57" t="s">
        <v>22</v>
      </c>
    </row>
    <row r="58" spans="1:13" x14ac:dyDescent="0.25">
      <c r="A58">
        <v>1057</v>
      </c>
      <c r="B58">
        <f t="shared" si="0"/>
        <v>2023</v>
      </c>
      <c r="C58" t="str">
        <f t="shared" si="1"/>
        <v>September</v>
      </c>
      <c r="D58" t="s">
        <v>47</v>
      </c>
      <c r="E58" t="s">
        <v>19</v>
      </c>
      <c r="F58" t="s">
        <v>11</v>
      </c>
      <c r="G58" t="s">
        <v>84</v>
      </c>
      <c r="H58" t="str">
        <f t="shared" si="2"/>
        <v>High</v>
      </c>
      <c r="I58">
        <v>1384</v>
      </c>
      <c r="J58">
        <v>214.35</v>
      </c>
      <c r="K58" s="3">
        <f t="shared" si="3"/>
        <v>0.15487716763005779</v>
      </c>
      <c r="L58">
        <v>8</v>
      </c>
      <c r="M58" t="s">
        <v>30</v>
      </c>
    </row>
    <row r="59" spans="1:13" x14ac:dyDescent="0.25">
      <c r="A59">
        <v>1058</v>
      </c>
      <c r="B59">
        <f t="shared" si="0"/>
        <v>2023</v>
      </c>
      <c r="C59" t="str">
        <f t="shared" si="1"/>
        <v>August</v>
      </c>
      <c r="D59" t="s">
        <v>85</v>
      </c>
      <c r="E59" t="s">
        <v>17</v>
      </c>
      <c r="F59" t="s">
        <v>11</v>
      </c>
      <c r="G59" t="s">
        <v>84</v>
      </c>
      <c r="H59" t="str">
        <f t="shared" si="2"/>
        <v>Low</v>
      </c>
      <c r="I59">
        <v>158</v>
      </c>
      <c r="J59">
        <v>26.97</v>
      </c>
      <c r="K59" s="3">
        <f t="shared" si="3"/>
        <v>0.17069620253164555</v>
      </c>
      <c r="L59">
        <v>2</v>
      </c>
      <c r="M59" t="s">
        <v>22</v>
      </c>
    </row>
    <row r="60" spans="1:13" x14ac:dyDescent="0.25">
      <c r="A60">
        <v>1059</v>
      </c>
      <c r="B60">
        <f t="shared" si="0"/>
        <v>2023</v>
      </c>
      <c r="C60" t="str">
        <f t="shared" si="1"/>
        <v>April</v>
      </c>
      <c r="D60" t="s">
        <v>86</v>
      </c>
      <c r="E60" t="s">
        <v>17</v>
      </c>
      <c r="F60" t="s">
        <v>11</v>
      </c>
      <c r="G60" t="s">
        <v>12</v>
      </c>
      <c r="H60" t="str">
        <f t="shared" si="2"/>
        <v>Medium</v>
      </c>
      <c r="I60">
        <v>448</v>
      </c>
      <c r="J60">
        <v>43.61</v>
      </c>
      <c r="K60" s="3">
        <f t="shared" si="3"/>
        <v>9.7343749999999993E-2</v>
      </c>
      <c r="L60">
        <v>7</v>
      </c>
      <c r="M60" t="s">
        <v>30</v>
      </c>
    </row>
    <row r="61" spans="1:13" x14ac:dyDescent="0.25">
      <c r="A61">
        <v>1060</v>
      </c>
      <c r="B61">
        <f t="shared" si="0"/>
        <v>2023</v>
      </c>
      <c r="C61" t="str">
        <f t="shared" si="1"/>
        <v>February</v>
      </c>
      <c r="D61" t="s">
        <v>87</v>
      </c>
      <c r="E61" t="s">
        <v>19</v>
      </c>
      <c r="F61" t="s">
        <v>27</v>
      </c>
      <c r="G61" t="s">
        <v>73</v>
      </c>
      <c r="H61" t="str">
        <f t="shared" si="2"/>
        <v>High</v>
      </c>
      <c r="I61">
        <v>2192</v>
      </c>
      <c r="J61">
        <v>735.28</v>
      </c>
      <c r="K61" s="3">
        <f t="shared" si="3"/>
        <v>0.33543795620437955</v>
      </c>
      <c r="L61">
        <v>4</v>
      </c>
      <c r="M61" t="s">
        <v>22</v>
      </c>
    </row>
    <row r="62" spans="1:13" x14ac:dyDescent="0.25">
      <c r="A62">
        <v>1061</v>
      </c>
      <c r="B62">
        <f t="shared" si="0"/>
        <v>2023</v>
      </c>
      <c r="C62" t="str">
        <f t="shared" si="1"/>
        <v>January</v>
      </c>
      <c r="D62" t="s">
        <v>88</v>
      </c>
      <c r="E62" t="s">
        <v>19</v>
      </c>
      <c r="F62" t="s">
        <v>20</v>
      </c>
      <c r="G62" t="s">
        <v>39</v>
      </c>
      <c r="H62" t="str">
        <f t="shared" si="2"/>
        <v>High</v>
      </c>
      <c r="I62">
        <v>4146</v>
      </c>
      <c r="J62">
        <v>934.17</v>
      </c>
      <c r="K62" s="3">
        <f t="shared" si="3"/>
        <v>0.22531837916063674</v>
      </c>
      <c r="L62">
        <v>6</v>
      </c>
      <c r="M62" t="s">
        <v>22</v>
      </c>
    </row>
    <row r="63" spans="1:13" x14ac:dyDescent="0.25">
      <c r="A63">
        <v>1062</v>
      </c>
      <c r="B63">
        <f t="shared" si="0"/>
        <v>2023</v>
      </c>
      <c r="C63" t="str">
        <f t="shared" si="1"/>
        <v>April</v>
      </c>
      <c r="D63" t="s">
        <v>82</v>
      </c>
      <c r="E63" t="s">
        <v>17</v>
      </c>
      <c r="F63" t="s">
        <v>11</v>
      </c>
      <c r="G63" t="s">
        <v>15</v>
      </c>
      <c r="H63" t="str">
        <f t="shared" si="2"/>
        <v>Low</v>
      </c>
      <c r="I63">
        <v>85</v>
      </c>
      <c r="J63">
        <v>15.72</v>
      </c>
      <c r="K63" s="3">
        <f t="shared" si="3"/>
        <v>0.18494117647058825</v>
      </c>
      <c r="L63">
        <v>5</v>
      </c>
      <c r="M63" t="s">
        <v>22</v>
      </c>
    </row>
    <row r="64" spans="1:13" x14ac:dyDescent="0.25">
      <c r="A64">
        <v>1063</v>
      </c>
      <c r="B64">
        <f t="shared" si="0"/>
        <v>2023</v>
      </c>
      <c r="C64" t="str">
        <f t="shared" si="1"/>
        <v>March</v>
      </c>
      <c r="D64" t="s">
        <v>89</v>
      </c>
      <c r="E64" t="s">
        <v>17</v>
      </c>
      <c r="F64" t="s">
        <v>11</v>
      </c>
      <c r="G64" t="s">
        <v>84</v>
      </c>
      <c r="H64" t="str">
        <f t="shared" si="2"/>
        <v>High</v>
      </c>
      <c r="I64">
        <v>1100</v>
      </c>
      <c r="J64">
        <v>263.79000000000002</v>
      </c>
      <c r="K64" s="3">
        <f t="shared" si="3"/>
        <v>0.23980909090909092</v>
      </c>
      <c r="L64">
        <v>10</v>
      </c>
      <c r="M64" t="s">
        <v>22</v>
      </c>
    </row>
    <row r="65" spans="1:13" x14ac:dyDescent="0.25">
      <c r="A65">
        <v>1064</v>
      </c>
      <c r="B65">
        <f t="shared" si="0"/>
        <v>2023</v>
      </c>
      <c r="C65" t="str">
        <f t="shared" si="1"/>
        <v>August</v>
      </c>
      <c r="D65" t="s">
        <v>90</v>
      </c>
      <c r="E65" t="s">
        <v>10</v>
      </c>
      <c r="F65" t="s">
        <v>11</v>
      </c>
      <c r="G65" t="s">
        <v>12</v>
      </c>
      <c r="H65" t="str">
        <f t="shared" si="2"/>
        <v>Low</v>
      </c>
      <c r="I65">
        <v>66</v>
      </c>
      <c r="J65">
        <v>9.92</v>
      </c>
      <c r="K65" s="3">
        <f t="shared" si="3"/>
        <v>0.1503030303030303</v>
      </c>
      <c r="L65">
        <v>3</v>
      </c>
      <c r="M65" t="s">
        <v>13</v>
      </c>
    </row>
    <row r="66" spans="1:13" x14ac:dyDescent="0.25">
      <c r="A66">
        <v>1065</v>
      </c>
      <c r="B66">
        <f t="shared" ref="B66:B129" si="4">YEAR(D66)</f>
        <v>2023</v>
      </c>
      <c r="C66" t="str">
        <f t="shared" ref="C66:C129" si="5">TEXT(D66,"mmmm")</f>
        <v>June</v>
      </c>
      <c r="D66" t="s">
        <v>91</v>
      </c>
      <c r="E66" t="s">
        <v>19</v>
      </c>
      <c r="F66" t="s">
        <v>27</v>
      </c>
      <c r="G66" t="s">
        <v>36</v>
      </c>
      <c r="H66" t="str">
        <f t="shared" ref="H66:H129" si="6">IF(I66&lt;=200,"Low",IF(I66&lt;=600,"Medium","High"))</f>
        <v>High</v>
      </c>
      <c r="I66">
        <v>4067</v>
      </c>
      <c r="J66">
        <v>1242.17</v>
      </c>
      <c r="K66" s="3">
        <f t="shared" ref="K66:K129" si="7">J66/I66</f>
        <v>0.30542660437669045</v>
      </c>
      <c r="L66">
        <v>7</v>
      </c>
      <c r="M66" t="s">
        <v>22</v>
      </c>
    </row>
    <row r="67" spans="1:13" x14ac:dyDescent="0.25">
      <c r="A67">
        <v>1066</v>
      </c>
      <c r="B67">
        <f t="shared" si="4"/>
        <v>2023</v>
      </c>
      <c r="C67" t="str">
        <f t="shared" si="5"/>
        <v>April</v>
      </c>
      <c r="D67" t="s">
        <v>72</v>
      </c>
      <c r="E67" t="s">
        <v>10</v>
      </c>
      <c r="F67" t="s">
        <v>27</v>
      </c>
      <c r="G67" t="s">
        <v>28</v>
      </c>
      <c r="H67" t="str">
        <f t="shared" si="6"/>
        <v>Medium</v>
      </c>
      <c r="I67">
        <v>362</v>
      </c>
      <c r="J67">
        <v>48.45</v>
      </c>
      <c r="K67" s="3">
        <f t="shared" si="7"/>
        <v>0.13383977900552488</v>
      </c>
      <c r="L67">
        <v>2</v>
      </c>
      <c r="M67" t="s">
        <v>22</v>
      </c>
    </row>
    <row r="68" spans="1:13" x14ac:dyDescent="0.25">
      <c r="A68">
        <v>1067</v>
      </c>
      <c r="B68">
        <f t="shared" si="4"/>
        <v>2023</v>
      </c>
      <c r="C68" t="str">
        <f t="shared" si="5"/>
        <v>March</v>
      </c>
      <c r="D68" t="s">
        <v>92</v>
      </c>
      <c r="E68" t="s">
        <v>17</v>
      </c>
      <c r="F68" t="s">
        <v>20</v>
      </c>
      <c r="G68" t="s">
        <v>39</v>
      </c>
      <c r="H68" t="str">
        <f t="shared" si="6"/>
        <v>High</v>
      </c>
      <c r="I68">
        <v>2512</v>
      </c>
      <c r="J68">
        <v>516.36</v>
      </c>
      <c r="K68" s="3">
        <f t="shared" si="7"/>
        <v>0.20555732484076433</v>
      </c>
      <c r="L68">
        <v>8</v>
      </c>
      <c r="M68" t="s">
        <v>30</v>
      </c>
    </row>
    <row r="69" spans="1:13" x14ac:dyDescent="0.25">
      <c r="A69">
        <v>1068</v>
      </c>
      <c r="B69">
        <f t="shared" si="4"/>
        <v>2023</v>
      </c>
      <c r="C69" t="str">
        <f t="shared" si="5"/>
        <v>November</v>
      </c>
      <c r="D69" t="s">
        <v>93</v>
      </c>
      <c r="E69" t="s">
        <v>17</v>
      </c>
      <c r="F69" t="s">
        <v>27</v>
      </c>
      <c r="G69" t="s">
        <v>73</v>
      </c>
      <c r="H69" t="str">
        <f t="shared" si="6"/>
        <v>High</v>
      </c>
      <c r="I69">
        <v>936</v>
      </c>
      <c r="J69">
        <v>221.13</v>
      </c>
      <c r="K69" s="3">
        <f t="shared" si="7"/>
        <v>0.23624999999999999</v>
      </c>
      <c r="L69">
        <v>2</v>
      </c>
      <c r="M69" t="s">
        <v>13</v>
      </c>
    </row>
    <row r="70" spans="1:13" x14ac:dyDescent="0.25">
      <c r="A70">
        <v>1069</v>
      </c>
      <c r="B70">
        <f t="shared" si="4"/>
        <v>2023</v>
      </c>
      <c r="C70" t="str">
        <f t="shared" si="5"/>
        <v>April</v>
      </c>
      <c r="D70" t="s">
        <v>94</v>
      </c>
      <c r="E70" t="s">
        <v>19</v>
      </c>
      <c r="F70" t="s">
        <v>27</v>
      </c>
      <c r="G70" t="s">
        <v>95</v>
      </c>
      <c r="H70" t="str">
        <f t="shared" si="6"/>
        <v>Medium</v>
      </c>
      <c r="I70">
        <v>508</v>
      </c>
      <c r="J70">
        <v>146.59</v>
      </c>
      <c r="K70" s="3">
        <f t="shared" si="7"/>
        <v>0.28856299212598424</v>
      </c>
      <c r="L70">
        <v>2</v>
      </c>
      <c r="M70" t="s">
        <v>13</v>
      </c>
    </row>
    <row r="71" spans="1:13" x14ac:dyDescent="0.25">
      <c r="A71">
        <v>1070</v>
      </c>
      <c r="B71">
        <f t="shared" si="4"/>
        <v>2023</v>
      </c>
      <c r="C71" t="str">
        <f t="shared" si="5"/>
        <v>January</v>
      </c>
      <c r="D71" t="s">
        <v>96</v>
      </c>
      <c r="E71" t="s">
        <v>10</v>
      </c>
      <c r="F71" t="s">
        <v>11</v>
      </c>
      <c r="G71" t="s">
        <v>15</v>
      </c>
      <c r="H71" t="str">
        <f t="shared" si="6"/>
        <v>High</v>
      </c>
      <c r="I71">
        <v>1074</v>
      </c>
      <c r="J71">
        <v>193.38</v>
      </c>
      <c r="K71" s="3">
        <f t="shared" si="7"/>
        <v>0.18005586592178771</v>
      </c>
      <c r="L71">
        <v>6</v>
      </c>
      <c r="M71" t="s">
        <v>13</v>
      </c>
    </row>
    <row r="72" spans="1:13" x14ac:dyDescent="0.25">
      <c r="A72">
        <v>1071</v>
      </c>
      <c r="B72">
        <f t="shared" si="4"/>
        <v>2023</v>
      </c>
      <c r="C72" t="str">
        <f t="shared" si="5"/>
        <v>September</v>
      </c>
      <c r="D72" t="s">
        <v>97</v>
      </c>
      <c r="E72" t="s">
        <v>10</v>
      </c>
      <c r="F72" t="s">
        <v>11</v>
      </c>
      <c r="G72" t="s">
        <v>44</v>
      </c>
      <c r="H72" t="str">
        <f t="shared" si="6"/>
        <v>Medium</v>
      </c>
      <c r="I72">
        <v>344</v>
      </c>
      <c r="J72">
        <v>110.33</v>
      </c>
      <c r="K72" s="3">
        <f t="shared" si="7"/>
        <v>0.32072674418604652</v>
      </c>
      <c r="L72">
        <v>2</v>
      </c>
      <c r="M72" t="s">
        <v>22</v>
      </c>
    </row>
    <row r="73" spans="1:13" x14ac:dyDescent="0.25">
      <c r="A73">
        <v>1072</v>
      </c>
      <c r="B73">
        <f t="shared" si="4"/>
        <v>2023</v>
      </c>
      <c r="C73" t="str">
        <f t="shared" si="5"/>
        <v>September</v>
      </c>
      <c r="D73" t="s">
        <v>98</v>
      </c>
      <c r="E73" t="s">
        <v>19</v>
      </c>
      <c r="F73" t="s">
        <v>27</v>
      </c>
      <c r="G73" t="s">
        <v>36</v>
      </c>
      <c r="H73" t="str">
        <f t="shared" si="6"/>
        <v>High</v>
      </c>
      <c r="I73">
        <v>3225</v>
      </c>
      <c r="J73">
        <v>637.28</v>
      </c>
      <c r="K73" s="3">
        <f t="shared" si="7"/>
        <v>0.19760620155038758</v>
      </c>
      <c r="L73">
        <v>5</v>
      </c>
      <c r="M73" t="s">
        <v>30</v>
      </c>
    </row>
    <row r="74" spans="1:13" x14ac:dyDescent="0.25">
      <c r="A74">
        <v>1073</v>
      </c>
      <c r="B74">
        <f t="shared" si="4"/>
        <v>2023</v>
      </c>
      <c r="C74" t="str">
        <f t="shared" si="5"/>
        <v>May</v>
      </c>
      <c r="D74" t="s">
        <v>99</v>
      </c>
      <c r="E74" t="s">
        <v>24</v>
      </c>
      <c r="F74" t="s">
        <v>11</v>
      </c>
      <c r="G74" t="s">
        <v>15</v>
      </c>
      <c r="H74" t="str">
        <f t="shared" si="6"/>
        <v>Low</v>
      </c>
      <c r="I74">
        <v>144</v>
      </c>
      <c r="J74">
        <v>40.700000000000003</v>
      </c>
      <c r="K74" s="3">
        <f t="shared" si="7"/>
        <v>0.28263888888888888</v>
      </c>
      <c r="L74">
        <v>2</v>
      </c>
      <c r="M74" t="s">
        <v>22</v>
      </c>
    </row>
    <row r="75" spans="1:13" x14ac:dyDescent="0.25">
      <c r="A75">
        <v>1074</v>
      </c>
      <c r="B75">
        <f t="shared" si="4"/>
        <v>2023</v>
      </c>
      <c r="C75" t="str">
        <f t="shared" si="5"/>
        <v>January</v>
      </c>
      <c r="D75" t="s">
        <v>100</v>
      </c>
      <c r="E75" t="s">
        <v>19</v>
      </c>
      <c r="F75" t="s">
        <v>11</v>
      </c>
      <c r="G75" t="s">
        <v>15</v>
      </c>
      <c r="H75" t="str">
        <f t="shared" si="6"/>
        <v>High</v>
      </c>
      <c r="I75">
        <v>1072</v>
      </c>
      <c r="J75">
        <v>147.16</v>
      </c>
      <c r="K75" s="3">
        <f t="shared" si="7"/>
        <v>0.13727611940298506</v>
      </c>
      <c r="L75">
        <v>8</v>
      </c>
      <c r="M75" t="s">
        <v>22</v>
      </c>
    </row>
    <row r="76" spans="1:13" x14ac:dyDescent="0.25">
      <c r="A76">
        <v>1075</v>
      </c>
      <c r="B76">
        <f t="shared" si="4"/>
        <v>2023</v>
      </c>
      <c r="C76" t="str">
        <f t="shared" si="5"/>
        <v>December</v>
      </c>
      <c r="D76" t="s">
        <v>71</v>
      </c>
      <c r="E76" t="s">
        <v>24</v>
      </c>
      <c r="F76" t="s">
        <v>27</v>
      </c>
      <c r="G76" t="s">
        <v>73</v>
      </c>
      <c r="H76" t="str">
        <f t="shared" si="6"/>
        <v>High</v>
      </c>
      <c r="I76">
        <v>3395</v>
      </c>
      <c r="J76">
        <v>350.08</v>
      </c>
      <c r="K76" s="3">
        <f t="shared" si="7"/>
        <v>0.10311634756995582</v>
      </c>
      <c r="L76">
        <v>5</v>
      </c>
      <c r="M76" t="s">
        <v>13</v>
      </c>
    </row>
    <row r="77" spans="1:13" x14ac:dyDescent="0.25">
      <c r="A77">
        <v>1076</v>
      </c>
      <c r="B77">
        <f t="shared" si="4"/>
        <v>2023</v>
      </c>
      <c r="C77" t="str">
        <f t="shared" si="5"/>
        <v>May</v>
      </c>
      <c r="D77" t="s">
        <v>101</v>
      </c>
      <c r="E77" t="s">
        <v>19</v>
      </c>
      <c r="F77" t="s">
        <v>11</v>
      </c>
      <c r="G77" t="s">
        <v>84</v>
      </c>
      <c r="H77" t="str">
        <f t="shared" si="6"/>
        <v>Low</v>
      </c>
      <c r="I77">
        <v>112</v>
      </c>
      <c r="J77">
        <v>11.77</v>
      </c>
      <c r="K77" s="3">
        <f t="shared" si="7"/>
        <v>0.1050892857142857</v>
      </c>
      <c r="L77">
        <v>8</v>
      </c>
      <c r="M77" t="s">
        <v>13</v>
      </c>
    </row>
    <row r="78" spans="1:13" x14ac:dyDescent="0.25">
      <c r="A78">
        <v>1077</v>
      </c>
      <c r="B78">
        <f t="shared" si="4"/>
        <v>2023</v>
      </c>
      <c r="C78" t="str">
        <f t="shared" si="5"/>
        <v>December</v>
      </c>
      <c r="D78" t="s">
        <v>102</v>
      </c>
      <c r="E78" t="s">
        <v>17</v>
      </c>
      <c r="F78" t="s">
        <v>20</v>
      </c>
      <c r="G78" t="s">
        <v>55</v>
      </c>
      <c r="H78" t="str">
        <f t="shared" si="6"/>
        <v>High</v>
      </c>
      <c r="I78">
        <v>8350</v>
      </c>
      <c r="J78">
        <v>1864.96</v>
      </c>
      <c r="K78" s="3">
        <f t="shared" si="7"/>
        <v>0.22334850299401199</v>
      </c>
      <c r="L78">
        <v>10</v>
      </c>
      <c r="M78" t="s">
        <v>22</v>
      </c>
    </row>
    <row r="79" spans="1:13" x14ac:dyDescent="0.25">
      <c r="A79">
        <v>1078</v>
      </c>
      <c r="B79">
        <f t="shared" si="4"/>
        <v>2023</v>
      </c>
      <c r="C79" t="str">
        <f t="shared" si="5"/>
        <v>August</v>
      </c>
      <c r="D79" t="s">
        <v>103</v>
      </c>
      <c r="E79" t="s">
        <v>24</v>
      </c>
      <c r="F79" t="s">
        <v>27</v>
      </c>
      <c r="G79" t="s">
        <v>73</v>
      </c>
      <c r="H79" t="str">
        <f t="shared" si="6"/>
        <v>High</v>
      </c>
      <c r="I79">
        <v>2035</v>
      </c>
      <c r="J79">
        <v>229.09</v>
      </c>
      <c r="K79" s="3">
        <f t="shared" si="7"/>
        <v>0.11257493857493858</v>
      </c>
      <c r="L79">
        <v>5</v>
      </c>
      <c r="M79" t="s">
        <v>13</v>
      </c>
    </row>
    <row r="80" spans="1:13" x14ac:dyDescent="0.25">
      <c r="A80">
        <v>1079</v>
      </c>
      <c r="B80">
        <f t="shared" si="4"/>
        <v>2023</v>
      </c>
      <c r="C80" t="str">
        <f t="shared" si="5"/>
        <v>October</v>
      </c>
      <c r="D80" t="s">
        <v>104</v>
      </c>
      <c r="E80" t="s">
        <v>10</v>
      </c>
      <c r="F80" t="s">
        <v>20</v>
      </c>
      <c r="G80" t="s">
        <v>25</v>
      </c>
      <c r="H80" t="str">
        <f t="shared" si="6"/>
        <v>High</v>
      </c>
      <c r="I80">
        <v>1416</v>
      </c>
      <c r="J80">
        <v>298.39999999999998</v>
      </c>
      <c r="K80" s="3">
        <f t="shared" si="7"/>
        <v>0.21073446327683615</v>
      </c>
      <c r="L80">
        <v>3</v>
      </c>
      <c r="M80" t="s">
        <v>13</v>
      </c>
    </row>
    <row r="81" spans="1:13" x14ac:dyDescent="0.25">
      <c r="A81">
        <v>1080</v>
      </c>
      <c r="B81">
        <f t="shared" si="4"/>
        <v>2023</v>
      </c>
      <c r="C81" t="str">
        <f t="shared" si="5"/>
        <v>April</v>
      </c>
      <c r="D81" t="s">
        <v>105</v>
      </c>
      <c r="E81" t="s">
        <v>24</v>
      </c>
      <c r="F81" t="s">
        <v>11</v>
      </c>
      <c r="G81" t="s">
        <v>15</v>
      </c>
      <c r="H81" t="str">
        <f t="shared" si="6"/>
        <v>Medium</v>
      </c>
      <c r="I81">
        <v>275</v>
      </c>
      <c r="J81">
        <v>44.44</v>
      </c>
      <c r="K81" s="3">
        <f t="shared" si="7"/>
        <v>0.16159999999999999</v>
      </c>
      <c r="L81">
        <v>5</v>
      </c>
      <c r="M81" t="s">
        <v>30</v>
      </c>
    </row>
    <row r="82" spans="1:13" x14ac:dyDescent="0.25">
      <c r="A82">
        <v>1081</v>
      </c>
      <c r="B82">
        <f t="shared" si="4"/>
        <v>2023</v>
      </c>
      <c r="C82" t="str">
        <f t="shared" si="5"/>
        <v>January</v>
      </c>
      <c r="D82" t="s">
        <v>80</v>
      </c>
      <c r="E82" t="s">
        <v>17</v>
      </c>
      <c r="F82" t="s">
        <v>11</v>
      </c>
      <c r="G82" t="s">
        <v>15</v>
      </c>
      <c r="H82" t="str">
        <f t="shared" si="6"/>
        <v>Low</v>
      </c>
      <c r="I82">
        <v>42</v>
      </c>
      <c r="J82">
        <v>10.59</v>
      </c>
      <c r="K82" s="3">
        <f t="shared" si="7"/>
        <v>0.25214285714285711</v>
      </c>
      <c r="L82">
        <v>1</v>
      </c>
      <c r="M82" t="s">
        <v>22</v>
      </c>
    </row>
    <row r="83" spans="1:13" x14ac:dyDescent="0.25">
      <c r="A83">
        <v>1082</v>
      </c>
      <c r="B83">
        <f t="shared" si="4"/>
        <v>2023</v>
      </c>
      <c r="C83" t="str">
        <f t="shared" si="5"/>
        <v>May</v>
      </c>
      <c r="D83" t="s">
        <v>106</v>
      </c>
      <c r="E83" t="s">
        <v>10</v>
      </c>
      <c r="F83" t="s">
        <v>27</v>
      </c>
      <c r="G83" t="s">
        <v>28</v>
      </c>
      <c r="H83" t="str">
        <f t="shared" si="6"/>
        <v>High</v>
      </c>
      <c r="I83">
        <v>4808</v>
      </c>
      <c r="J83">
        <v>623.97</v>
      </c>
      <c r="K83" s="3">
        <f t="shared" si="7"/>
        <v>0.12977745424292847</v>
      </c>
      <c r="L83">
        <v>8</v>
      </c>
      <c r="M83" t="s">
        <v>13</v>
      </c>
    </row>
    <row r="84" spans="1:13" x14ac:dyDescent="0.25">
      <c r="A84">
        <v>1083</v>
      </c>
      <c r="B84">
        <f t="shared" si="4"/>
        <v>2023</v>
      </c>
      <c r="C84" t="str">
        <f t="shared" si="5"/>
        <v>February</v>
      </c>
      <c r="D84" t="s">
        <v>107</v>
      </c>
      <c r="E84" t="s">
        <v>19</v>
      </c>
      <c r="F84" t="s">
        <v>20</v>
      </c>
      <c r="G84" t="s">
        <v>25</v>
      </c>
      <c r="H84" t="str">
        <f t="shared" si="6"/>
        <v>High</v>
      </c>
      <c r="I84">
        <v>7609</v>
      </c>
      <c r="J84">
        <v>1901.87</v>
      </c>
      <c r="K84" s="3">
        <f t="shared" si="7"/>
        <v>0.24995005914049151</v>
      </c>
      <c r="L84">
        <v>7</v>
      </c>
      <c r="M84" t="s">
        <v>30</v>
      </c>
    </row>
    <row r="85" spans="1:13" x14ac:dyDescent="0.25">
      <c r="A85">
        <v>1084</v>
      </c>
      <c r="B85">
        <f t="shared" si="4"/>
        <v>2023</v>
      </c>
      <c r="C85" t="str">
        <f t="shared" si="5"/>
        <v>June</v>
      </c>
      <c r="D85" t="s">
        <v>108</v>
      </c>
      <c r="E85" t="s">
        <v>17</v>
      </c>
      <c r="F85" t="s">
        <v>20</v>
      </c>
      <c r="G85" t="s">
        <v>21</v>
      </c>
      <c r="H85" t="str">
        <f t="shared" si="6"/>
        <v>High</v>
      </c>
      <c r="I85">
        <v>1176</v>
      </c>
      <c r="J85">
        <v>336.81</v>
      </c>
      <c r="K85" s="3">
        <f t="shared" si="7"/>
        <v>0.28640306122448977</v>
      </c>
      <c r="L85">
        <v>2</v>
      </c>
      <c r="M85" t="s">
        <v>13</v>
      </c>
    </row>
    <row r="86" spans="1:13" x14ac:dyDescent="0.25">
      <c r="A86">
        <v>1085</v>
      </c>
      <c r="B86">
        <f t="shared" si="4"/>
        <v>2023</v>
      </c>
      <c r="C86" t="str">
        <f t="shared" si="5"/>
        <v>July</v>
      </c>
      <c r="D86" t="s">
        <v>32</v>
      </c>
      <c r="E86" t="s">
        <v>17</v>
      </c>
      <c r="F86" t="s">
        <v>11</v>
      </c>
      <c r="G86" t="s">
        <v>15</v>
      </c>
      <c r="H86" t="str">
        <f t="shared" si="6"/>
        <v>High</v>
      </c>
      <c r="I86">
        <v>1280</v>
      </c>
      <c r="J86">
        <v>444.55</v>
      </c>
      <c r="K86" s="3">
        <f t="shared" si="7"/>
        <v>0.34730468749999999</v>
      </c>
      <c r="L86">
        <v>8</v>
      </c>
      <c r="M86" t="s">
        <v>13</v>
      </c>
    </row>
    <row r="87" spans="1:13" x14ac:dyDescent="0.25">
      <c r="A87">
        <v>1086</v>
      </c>
      <c r="B87">
        <f t="shared" si="4"/>
        <v>2023</v>
      </c>
      <c r="C87" t="str">
        <f t="shared" si="5"/>
        <v>November</v>
      </c>
      <c r="D87" t="s">
        <v>109</v>
      </c>
      <c r="E87" t="s">
        <v>10</v>
      </c>
      <c r="F87" t="s">
        <v>27</v>
      </c>
      <c r="G87" t="s">
        <v>28</v>
      </c>
      <c r="H87" t="str">
        <f t="shared" si="6"/>
        <v>High</v>
      </c>
      <c r="I87">
        <v>3304</v>
      </c>
      <c r="J87">
        <v>404.43</v>
      </c>
      <c r="K87" s="3">
        <f t="shared" si="7"/>
        <v>0.12240617433414044</v>
      </c>
      <c r="L87">
        <v>4</v>
      </c>
      <c r="M87" t="s">
        <v>30</v>
      </c>
    </row>
    <row r="88" spans="1:13" x14ac:dyDescent="0.25">
      <c r="A88">
        <v>1087</v>
      </c>
      <c r="B88">
        <f t="shared" si="4"/>
        <v>2023</v>
      </c>
      <c r="C88" t="str">
        <f t="shared" si="5"/>
        <v>January</v>
      </c>
      <c r="D88" t="s">
        <v>57</v>
      </c>
      <c r="E88" t="s">
        <v>10</v>
      </c>
      <c r="F88" t="s">
        <v>20</v>
      </c>
      <c r="G88" t="s">
        <v>39</v>
      </c>
      <c r="H88" t="str">
        <f t="shared" si="6"/>
        <v>High</v>
      </c>
      <c r="I88">
        <v>7014</v>
      </c>
      <c r="J88">
        <v>1451.03</v>
      </c>
      <c r="K88" s="3">
        <f t="shared" si="7"/>
        <v>0.20687624750499001</v>
      </c>
      <c r="L88">
        <v>7</v>
      </c>
      <c r="M88" t="s">
        <v>30</v>
      </c>
    </row>
    <row r="89" spans="1:13" x14ac:dyDescent="0.25">
      <c r="A89">
        <v>1088</v>
      </c>
      <c r="B89">
        <f t="shared" si="4"/>
        <v>2023</v>
      </c>
      <c r="C89" t="str">
        <f t="shared" si="5"/>
        <v>May</v>
      </c>
      <c r="D89" t="s">
        <v>65</v>
      </c>
      <c r="E89" t="s">
        <v>24</v>
      </c>
      <c r="F89" t="s">
        <v>20</v>
      </c>
      <c r="G89" t="s">
        <v>21</v>
      </c>
      <c r="H89" t="str">
        <f t="shared" si="6"/>
        <v>High</v>
      </c>
      <c r="I89">
        <v>1800</v>
      </c>
      <c r="J89">
        <v>593.02</v>
      </c>
      <c r="K89" s="3">
        <f t="shared" si="7"/>
        <v>0.32945555555555556</v>
      </c>
      <c r="L89">
        <v>8</v>
      </c>
      <c r="M89" t="s">
        <v>13</v>
      </c>
    </row>
    <row r="90" spans="1:13" x14ac:dyDescent="0.25">
      <c r="A90">
        <v>1089</v>
      </c>
      <c r="B90">
        <f t="shared" si="4"/>
        <v>2023</v>
      </c>
      <c r="C90" t="str">
        <f t="shared" si="5"/>
        <v>February</v>
      </c>
      <c r="D90" t="s">
        <v>110</v>
      </c>
      <c r="E90" t="s">
        <v>17</v>
      </c>
      <c r="F90" t="s">
        <v>11</v>
      </c>
      <c r="G90" t="s">
        <v>15</v>
      </c>
      <c r="H90" t="str">
        <f t="shared" si="6"/>
        <v>Medium</v>
      </c>
      <c r="I90">
        <v>432</v>
      </c>
      <c r="J90">
        <v>140.52000000000001</v>
      </c>
      <c r="K90" s="3">
        <f t="shared" si="7"/>
        <v>0.32527777777777778</v>
      </c>
      <c r="L90">
        <v>9</v>
      </c>
      <c r="M90" t="s">
        <v>22</v>
      </c>
    </row>
    <row r="91" spans="1:13" x14ac:dyDescent="0.25">
      <c r="A91">
        <v>1090</v>
      </c>
      <c r="B91">
        <f t="shared" si="4"/>
        <v>2023</v>
      </c>
      <c r="C91" t="str">
        <f t="shared" si="5"/>
        <v>June</v>
      </c>
      <c r="D91" t="s">
        <v>111</v>
      </c>
      <c r="E91" t="s">
        <v>10</v>
      </c>
      <c r="F91" t="s">
        <v>20</v>
      </c>
      <c r="G91" t="s">
        <v>42</v>
      </c>
      <c r="H91" t="str">
        <f t="shared" si="6"/>
        <v>High</v>
      </c>
      <c r="I91">
        <v>6710</v>
      </c>
      <c r="J91">
        <v>1385.94</v>
      </c>
      <c r="K91" s="3">
        <f t="shared" si="7"/>
        <v>0.20654843517138599</v>
      </c>
      <c r="L91">
        <v>10</v>
      </c>
      <c r="M91" t="s">
        <v>30</v>
      </c>
    </row>
    <row r="92" spans="1:13" x14ac:dyDescent="0.25">
      <c r="A92">
        <v>1091</v>
      </c>
      <c r="B92">
        <f t="shared" si="4"/>
        <v>2023</v>
      </c>
      <c r="C92" t="str">
        <f t="shared" si="5"/>
        <v>October</v>
      </c>
      <c r="D92" t="s">
        <v>112</v>
      </c>
      <c r="E92" t="s">
        <v>24</v>
      </c>
      <c r="F92" t="s">
        <v>27</v>
      </c>
      <c r="G92" t="s">
        <v>95</v>
      </c>
      <c r="H92" t="str">
        <f t="shared" si="6"/>
        <v>High</v>
      </c>
      <c r="I92">
        <v>1856</v>
      </c>
      <c r="J92">
        <v>168.46</v>
      </c>
      <c r="K92" s="3">
        <f t="shared" si="7"/>
        <v>9.076508620689655E-2</v>
      </c>
      <c r="L92">
        <v>8</v>
      </c>
      <c r="M92" t="s">
        <v>13</v>
      </c>
    </row>
    <row r="93" spans="1:13" x14ac:dyDescent="0.25">
      <c r="A93">
        <v>1092</v>
      </c>
      <c r="B93">
        <f t="shared" si="4"/>
        <v>2023</v>
      </c>
      <c r="C93" t="str">
        <f t="shared" si="5"/>
        <v>February</v>
      </c>
      <c r="D93" t="s">
        <v>113</v>
      </c>
      <c r="E93" t="s">
        <v>24</v>
      </c>
      <c r="F93" t="s">
        <v>27</v>
      </c>
      <c r="G93" t="s">
        <v>73</v>
      </c>
      <c r="H93" t="str">
        <f t="shared" si="6"/>
        <v>High</v>
      </c>
      <c r="I93">
        <v>3352</v>
      </c>
      <c r="J93">
        <v>789.69</v>
      </c>
      <c r="K93" s="3">
        <f t="shared" si="7"/>
        <v>0.23558770883054894</v>
      </c>
      <c r="L93">
        <v>4</v>
      </c>
      <c r="M93" t="s">
        <v>30</v>
      </c>
    </row>
    <row r="94" spans="1:13" x14ac:dyDescent="0.25">
      <c r="A94">
        <v>1093</v>
      </c>
      <c r="B94">
        <f t="shared" si="4"/>
        <v>2023</v>
      </c>
      <c r="C94" t="str">
        <f t="shared" si="5"/>
        <v>April</v>
      </c>
      <c r="D94" t="s">
        <v>114</v>
      </c>
      <c r="E94" t="s">
        <v>19</v>
      </c>
      <c r="F94" t="s">
        <v>20</v>
      </c>
      <c r="G94" t="s">
        <v>55</v>
      </c>
      <c r="H94" t="str">
        <f t="shared" si="6"/>
        <v>High</v>
      </c>
      <c r="I94">
        <v>9720</v>
      </c>
      <c r="J94">
        <v>3320.79</v>
      </c>
      <c r="K94" s="3">
        <f t="shared" si="7"/>
        <v>0.34164506172839504</v>
      </c>
      <c r="L94">
        <v>10</v>
      </c>
      <c r="M94" t="s">
        <v>22</v>
      </c>
    </row>
    <row r="95" spans="1:13" x14ac:dyDescent="0.25">
      <c r="A95">
        <v>1094</v>
      </c>
      <c r="B95">
        <f t="shared" si="4"/>
        <v>2023</v>
      </c>
      <c r="C95" t="str">
        <f t="shared" si="5"/>
        <v>June</v>
      </c>
      <c r="D95" t="s">
        <v>115</v>
      </c>
      <c r="E95" t="s">
        <v>19</v>
      </c>
      <c r="F95" t="s">
        <v>27</v>
      </c>
      <c r="G95" t="s">
        <v>73</v>
      </c>
      <c r="H95" t="str">
        <f t="shared" si="6"/>
        <v>High</v>
      </c>
      <c r="I95">
        <v>974</v>
      </c>
      <c r="J95">
        <v>260.33999999999997</v>
      </c>
      <c r="K95" s="3">
        <f t="shared" si="7"/>
        <v>0.26728952772073922</v>
      </c>
      <c r="L95">
        <v>2</v>
      </c>
      <c r="M95" t="s">
        <v>22</v>
      </c>
    </row>
    <row r="96" spans="1:13" x14ac:dyDescent="0.25">
      <c r="A96">
        <v>1095</v>
      </c>
      <c r="B96">
        <f t="shared" si="4"/>
        <v>2023</v>
      </c>
      <c r="C96" t="str">
        <f t="shared" si="5"/>
        <v>February</v>
      </c>
      <c r="D96" t="s">
        <v>116</v>
      </c>
      <c r="E96" t="s">
        <v>10</v>
      </c>
      <c r="F96" t="s">
        <v>27</v>
      </c>
      <c r="G96" t="s">
        <v>95</v>
      </c>
      <c r="H96" t="str">
        <f t="shared" si="6"/>
        <v>High</v>
      </c>
      <c r="I96">
        <v>2886</v>
      </c>
      <c r="J96">
        <v>986.87</v>
      </c>
      <c r="K96" s="3">
        <f t="shared" si="7"/>
        <v>0.34195079695079694</v>
      </c>
      <c r="L96">
        <v>6</v>
      </c>
      <c r="M96" t="s">
        <v>22</v>
      </c>
    </row>
    <row r="97" spans="1:13" x14ac:dyDescent="0.25">
      <c r="A97">
        <v>1096</v>
      </c>
      <c r="B97">
        <f t="shared" si="4"/>
        <v>2023</v>
      </c>
      <c r="C97" t="str">
        <f t="shared" si="5"/>
        <v>January</v>
      </c>
      <c r="D97" t="s">
        <v>117</v>
      </c>
      <c r="E97" t="s">
        <v>19</v>
      </c>
      <c r="F97" t="s">
        <v>27</v>
      </c>
      <c r="G97" t="s">
        <v>28</v>
      </c>
      <c r="H97" t="str">
        <f t="shared" si="6"/>
        <v>High</v>
      </c>
      <c r="I97">
        <v>2080</v>
      </c>
      <c r="J97">
        <v>591.22</v>
      </c>
      <c r="K97" s="3">
        <f t="shared" si="7"/>
        <v>0.28424038461538464</v>
      </c>
      <c r="L97">
        <v>4</v>
      </c>
      <c r="M97" t="s">
        <v>22</v>
      </c>
    </row>
    <row r="98" spans="1:13" x14ac:dyDescent="0.25">
      <c r="A98">
        <v>1097</v>
      </c>
      <c r="B98">
        <f t="shared" si="4"/>
        <v>2023</v>
      </c>
      <c r="C98" t="str">
        <f t="shared" si="5"/>
        <v>May</v>
      </c>
      <c r="D98" t="s">
        <v>118</v>
      </c>
      <c r="E98" t="s">
        <v>10</v>
      </c>
      <c r="F98" t="s">
        <v>11</v>
      </c>
      <c r="G98" t="s">
        <v>84</v>
      </c>
      <c r="H98" t="str">
        <f t="shared" si="6"/>
        <v>High</v>
      </c>
      <c r="I98">
        <v>1098</v>
      </c>
      <c r="J98">
        <v>348.98</v>
      </c>
      <c r="K98" s="3">
        <f t="shared" si="7"/>
        <v>0.31783242258652095</v>
      </c>
      <c r="L98">
        <v>9</v>
      </c>
      <c r="M98" t="s">
        <v>30</v>
      </c>
    </row>
    <row r="99" spans="1:13" x14ac:dyDescent="0.25">
      <c r="A99">
        <v>1098</v>
      </c>
      <c r="B99">
        <f t="shared" si="4"/>
        <v>2023</v>
      </c>
      <c r="C99" t="str">
        <f t="shared" si="5"/>
        <v>November</v>
      </c>
      <c r="D99" t="s">
        <v>119</v>
      </c>
      <c r="E99" t="s">
        <v>10</v>
      </c>
      <c r="F99" t="s">
        <v>27</v>
      </c>
      <c r="G99" t="s">
        <v>28</v>
      </c>
      <c r="H99" t="str">
        <f t="shared" si="6"/>
        <v>High</v>
      </c>
      <c r="I99">
        <v>1872</v>
      </c>
      <c r="J99">
        <v>156.66999999999999</v>
      </c>
      <c r="K99" s="3">
        <f t="shared" si="7"/>
        <v>8.3691239316239313E-2</v>
      </c>
      <c r="L99">
        <v>4</v>
      </c>
      <c r="M99" t="s">
        <v>13</v>
      </c>
    </row>
    <row r="100" spans="1:13" x14ac:dyDescent="0.25">
      <c r="A100">
        <v>1099</v>
      </c>
      <c r="B100">
        <f t="shared" si="4"/>
        <v>2023</v>
      </c>
      <c r="C100" t="str">
        <f t="shared" si="5"/>
        <v>August</v>
      </c>
      <c r="D100" t="s">
        <v>54</v>
      </c>
      <c r="E100" t="s">
        <v>17</v>
      </c>
      <c r="F100" t="s">
        <v>27</v>
      </c>
      <c r="G100" t="s">
        <v>28</v>
      </c>
      <c r="H100" t="str">
        <f t="shared" si="6"/>
        <v>High</v>
      </c>
      <c r="I100">
        <v>1320</v>
      </c>
      <c r="J100">
        <v>209.62</v>
      </c>
      <c r="K100" s="3">
        <f t="shared" si="7"/>
        <v>0.15880303030303031</v>
      </c>
      <c r="L100">
        <v>2</v>
      </c>
      <c r="M100" t="s">
        <v>30</v>
      </c>
    </row>
    <row r="101" spans="1:13" x14ac:dyDescent="0.25">
      <c r="A101">
        <v>1100</v>
      </c>
      <c r="B101">
        <f t="shared" si="4"/>
        <v>2023</v>
      </c>
      <c r="C101" t="str">
        <f t="shared" si="5"/>
        <v>August</v>
      </c>
      <c r="D101" t="s">
        <v>120</v>
      </c>
      <c r="E101" t="s">
        <v>19</v>
      </c>
      <c r="F101" t="s">
        <v>11</v>
      </c>
      <c r="G101" t="s">
        <v>44</v>
      </c>
      <c r="H101" t="str">
        <f t="shared" si="6"/>
        <v>Low</v>
      </c>
      <c r="I101">
        <v>188</v>
      </c>
      <c r="J101">
        <v>34.51</v>
      </c>
      <c r="K101" s="3">
        <f t="shared" si="7"/>
        <v>0.18356382978723404</v>
      </c>
      <c r="L101">
        <v>4</v>
      </c>
      <c r="M101" t="s">
        <v>22</v>
      </c>
    </row>
    <row r="102" spans="1:13" x14ac:dyDescent="0.25">
      <c r="A102">
        <v>1101</v>
      </c>
      <c r="B102">
        <f t="shared" si="4"/>
        <v>2023</v>
      </c>
      <c r="C102" t="str">
        <f t="shared" si="5"/>
        <v>May</v>
      </c>
      <c r="D102" t="s">
        <v>121</v>
      </c>
      <c r="E102" t="s">
        <v>17</v>
      </c>
      <c r="F102" t="s">
        <v>11</v>
      </c>
      <c r="G102" t="s">
        <v>15</v>
      </c>
      <c r="H102" t="str">
        <f t="shared" si="6"/>
        <v>Medium</v>
      </c>
      <c r="I102">
        <v>546</v>
      </c>
      <c r="J102">
        <v>164.65</v>
      </c>
      <c r="K102" s="3">
        <f t="shared" si="7"/>
        <v>0.30155677655677654</v>
      </c>
      <c r="L102">
        <v>7</v>
      </c>
      <c r="M102" t="s">
        <v>30</v>
      </c>
    </row>
    <row r="103" spans="1:13" x14ac:dyDescent="0.25">
      <c r="A103">
        <v>1102</v>
      </c>
      <c r="B103">
        <f t="shared" si="4"/>
        <v>2023</v>
      </c>
      <c r="C103" t="str">
        <f t="shared" si="5"/>
        <v>August</v>
      </c>
      <c r="D103" t="s">
        <v>122</v>
      </c>
      <c r="E103" t="s">
        <v>19</v>
      </c>
      <c r="F103" t="s">
        <v>27</v>
      </c>
      <c r="G103" t="s">
        <v>73</v>
      </c>
      <c r="H103" t="str">
        <f t="shared" si="6"/>
        <v>High</v>
      </c>
      <c r="I103">
        <v>4527</v>
      </c>
      <c r="J103">
        <v>1036.76</v>
      </c>
      <c r="K103" s="3">
        <f t="shared" si="7"/>
        <v>0.2290170090567705</v>
      </c>
      <c r="L103">
        <v>9</v>
      </c>
      <c r="M103" t="s">
        <v>30</v>
      </c>
    </row>
    <row r="104" spans="1:13" x14ac:dyDescent="0.25">
      <c r="A104">
        <v>1103</v>
      </c>
      <c r="B104">
        <f t="shared" si="4"/>
        <v>2023</v>
      </c>
      <c r="C104" t="str">
        <f t="shared" si="5"/>
        <v>April</v>
      </c>
      <c r="D104" t="s">
        <v>123</v>
      </c>
      <c r="E104" t="s">
        <v>19</v>
      </c>
      <c r="F104" t="s">
        <v>11</v>
      </c>
      <c r="G104" t="s">
        <v>84</v>
      </c>
      <c r="H104" t="str">
        <f t="shared" si="6"/>
        <v>Medium</v>
      </c>
      <c r="I104">
        <v>460</v>
      </c>
      <c r="J104">
        <v>42.22</v>
      </c>
      <c r="K104" s="3">
        <f t="shared" si="7"/>
        <v>9.1782608695652176E-2</v>
      </c>
      <c r="L104">
        <v>4</v>
      </c>
      <c r="M104" t="s">
        <v>22</v>
      </c>
    </row>
    <row r="105" spans="1:13" x14ac:dyDescent="0.25">
      <c r="A105">
        <v>1104</v>
      </c>
      <c r="B105">
        <f t="shared" si="4"/>
        <v>2023</v>
      </c>
      <c r="C105" t="str">
        <f t="shared" si="5"/>
        <v>December</v>
      </c>
      <c r="D105" t="s">
        <v>102</v>
      </c>
      <c r="E105" t="s">
        <v>19</v>
      </c>
      <c r="F105" t="s">
        <v>11</v>
      </c>
      <c r="G105" t="s">
        <v>84</v>
      </c>
      <c r="H105" t="str">
        <f t="shared" si="6"/>
        <v>Low</v>
      </c>
      <c r="I105">
        <v>126</v>
      </c>
      <c r="J105">
        <v>27.17</v>
      </c>
      <c r="K105" s="3">
        <f t="shared" si="7"/>
        <v>0.21563492063492065</v>
      </c>
      <c r="L105">
        <v>3</v>
      </c>
      <c r="M105" t="s">
        <v>22</v>
      </c>
    </row>
    <row r="106" spans="1:13" x14ac:dyDescent="0.25">
      <c r="A106">
        <v>1105</v>
      </c>
      <c r="B106">
        <f t="shared" si="4"/>
        <v>2023</v>
      </c>
      <c r="C106" t="str">
        <f t="shared" si="5"/>
        <v>February</v>
      </c>
      <c r="D106" t="s">
        <v>29</v>
      </c>
      <c r="E106" t="s">
        <v>10</v>
      </c>
      <c r="F106" t="s">
        <v>11</v>
      </c>
      <c r="G106" t="s">
        <v>44</v>
      </c>
      <c r="H106" t="str">
        <f t="shared" si="6"/>
        <v>High</v>
      </c>
      <c r="I106">
        <v>1746</v>
      </c>
      <c r="J106">
        <v>207.64</v>
      </c>
      <c r="K106" s="3">
        <f t="shared" si="7"/>
        <v>0.11892325315005726</v>
      </c>
      <c r="L106">
        <v>9</v>
      </c>
      <c r="M106" t="s">
        <v>22</v>
      </c>
    </row>
    <row r="107" spans="1:13" x14ac:dyDescent="0.25">
      <c r="A107">
        <v>1106</v>
      </c>
      <c r="B107">
        <f t="shared" si="4"/>
        <v>2023</v>
      </c>
      <c r="C107" t="str">
        <f t="shared" si="5"/>
        <v>May</v>
      </c>
      <c r="D107" t="s">
        <v>23</v>
      </c>
      <c r="E107" t="s">
        <v>10</v>
      </c>
      <c r="F107" t="s">
        <v>11</v>
      </c>
      <c r="G107" t="s">
        <v>33</v>
      </c>
      <c r="H107" t="str">
        <f t="shared" si="6"/>
        <v>Low</v>
      </c>
      <c r="I107">
        <v>180</v>
      </c>
      <c r="J107">
        <v>55.8</v>
      </c>
      <c r="K107" s="3">
        <f t="shared" si="7"/>
        <v>0.31</v>
      </c>
      <c r="L107">
        <v>6</v>
      </c>
      <c r="M107" t="s">
        <v>22</v>
      </c>
    </row>
    <row r="108" spans="1:13" x14ac:dyDescent="0.25">
      <c r="A108">
        <v>1107</v>
      </c>
      <c r="B108">
        <f t="shared" si="4"/>
        <v>2023</v>
      </c>
      <c r="C108" t="str">
        <f t="shared" si="5"/>
        <v>November</v>
      </c>
      <c r="D108" t="s">
        <v>109</v>
      </c>
      <c r="E108" t="s">
        <v>19</v>
      </c>
      <c r="F108" t="s">
        <v>11</v>
      </c>
      <c r="G108" t="s">
        <v>15</v>
      </c>
      <c r="H108" t="str">
        <f t="shared" si="6"/>
        <v>High</v>
      </c>
      <c r="I108">
        <v>1344</v>
      </c>
      <c r="J108">
        <v>132.35</v>
      </c>
      <c r="K108" s="3">
        <f t="shared" si="7"/>
        <v>9.8474702380952378E-2</v>
      </c>
      <c r="L108">
        <v>8</v>
      </c>
      <c r="M108" t="s">
        <v>22</v>
      </c>
    </row>
    <row r="109" spans="1:13" x14ac:dyDescent="0.25">
      <c r="A109">
        <v>1108</v>
      </c>
      <c r="B109">
        <f t="shared" si="4"/>
        <v>2023</v>
      </c>
      <c r="C109" t="str">
        <f t="shared" si="5"/>
        <v>February</v>
      </c>
      <c r="D109" t="s">
        <v>113</v>
      </c>
      <c r="E109" t="s">
        <v>17</v>
      </c>
      <c r="F109" t="s">
        <v>11</v>
      </c>
      <c r="G109" t="s">
        <v>44</v>
      </c>
      <c r="H109" t="str">
        <f t="shared" si="6"/>
        <v>High</v>
      </c>
      <c r="I109">
        <v>1330</v>
      </c>
      <c r="J109">
        <v>419.74</v>
      </c>
      <c r="K109" s="3">
        <f t="shared" si="7"/>
        <v>0.31559398496240604</v>
      </c>
      <c r="L109">
        <v>7</v>
      </c>
      <c r="M109" t="s">
        <v>13</v>
      </c>
    </row>
    <row r="110" spans="1:13" x14ac:dyDescent="0.25">
      <c r="A110">
        <v>1109</v>
      </c>
      <c r="B110">
        <f t="shared" si="4"/>
        <v>2023</v>
      </c>
      <c r="C110" t="str">
        <f t="shared" si="5"/>
        <v>January</v>
      </c>
      <c r="D110" t="s">
        <v>80</v>
      </c>
      <c r="E110" t="s">
        <v>24</v>
      </c>
      <c r="F110" t="s">
        <v>27</v>
      </c>
      <c r="G110" t="s">
        <v>36</v>
      </c>
      <c r="H110" t="str">
        <f t="shared" si="6"/>
        <v>High</v>
      </c>
      <c r="I110">
        <v>2700</v>
      </c>
      <c r="J110">
        <v>489.26</v>
      </c>
      <c r="K110" s="3">
        <f t="shared" si="7"/>
        <v>0.1812074074074074</v>
      </c>
      <c r="L110">
        <v>6</v>
      </c>
      <c r="M110" t="s">
        <v>30</v>
      </c>
    </row>
    <row r="111" spans="1:13" x14ac:dyDescent="0.25">
      <c r="A111">
        <v>1110</v>
      </c>
      <c r="B111">
        <f t="shared" si="4"/>
        <v>2023</v>
      </c>
      <c r="C111" t="str">
        <f t="shared" si="5"/>
        <v>December</v>
      </c>
      <c r="D111" t="s">
        <v>69</v>
      </c>
      <c r="E111" t="s">
        <v>19</v>
      </c>
      <c r="F111" t="s">
        <v>20</v>
      </c>
      <c r="G111" t="s">
        <v>21</v>
      </c>
      <c r="H111" t="str">
        <f t="shared" si="6"/>
        <v>High</v>
      </c>
      <c r="I111">
        <v>1284</v>
      </c>
      <c r="J111">
        <v>314.02</v>
      </c>
      <c r="K111" s="3">
        <f t="shared" si="7"/>
        <v>0.24456386292834889</v>
      </c>
      <c r="L111">
        <v>3</v>
      </c>
      <c r="M111" t="s">
        <v>13</v>
      </c>
    </row>
    <row r="112" spans="1:13" x14ac:dyDescent="0.25">
      <c r="A112">
        <v>1111</v>
      </c>
      <c r="B112">
        <f t="shared" si="4"/>
        <v>2023</v>
      </c>
      <c r="C112" t="str">
        <f t="shared" si="5"/>
        <v>March</v>
      </c>
      <c r="D112" t="s">
        <v>124</v>
      </c>
      <c r="E112" t="s">
        <v>19</v>
      </c>
      <c r="F112" t="s">
        <v>27</v>
      </c>
      <c r="G112" t="s">
        <v>36</v>
      </c>
      <c r="H112" t="str">
        <f t="shared" si="6"/>
        <v>High</v>
      </c>
      <c r="I112">
        <v>3212</v>
      </c>
      <c r="J112">
        <v>655.52</v>
      </c>
      <c r="K112" s="3">
        <f t="shared" si="7"/>
        <v>0.20408468244084682</v>
      </c>
      <c r="L112">
        <v>4</v>
      </c>
      <c r="M112" t="s">
        <v>13</v>
      </c>
    </row>
    <row r="113" spans="1:13" x14ac:dyDescent="0.25">
      <c r="A113">
        <v>1112</v>
      </c>
      <c r="B113">
        <f t="shared" si="4"/>
        <v>2023</v>
      </c>
      <c r="C113" t="str">
        <f t="shared" si="5"/>
        <v>December</v>
      </c>
      <c r="D113" t="s">
        <v>125</v>
      </c>
      <c r="E113" t="s">
        <v>19</v>
      </c>
      <c r="F113" t="s">
        <v>11</v>
      </c>
      <c r="G113" t="s">
        <v>12</v>
      </c>
      <c r="H113" t="str">
        <f t="shared" si="6"/>
        <v>High</v>
      </c>
      <c r="I113">
        <v>1107</v>
      </c>
      <c r="J113">
        <v>371.08</v>
      </c>
      <c r="K113" s="3">
        <f t="shared" si="7"/>
        <v>0.33521228545618786</v>
      </c>
      <c r="L113">
        <v>9</v>
      </c>
      <c r="M113" t="s">
        <v>22</v>
      </c>
    </row>
    <row r="114" spans="1:13" x14ac:dyDescent="0.25">
      <c r="A114">
        <v>1113</v>
      </c>
      <c r="B114">
        <f t="shared" si="4"/>
        <v>2023</v>
      </c>
      <c r="C114" t="str">
        <f t="shared" si="5"/>
        <v>May</v>
      </c>
      <c r="D114" t="s">
        <v>126</v>
      </c>
      <c r="E114" t="s">
        <v>19</v>
      </c>
      <c r="F114" t="s">
        <v>11</v>
      </c>
      <c r="G114" t="s">
        <v>44</v>
      </c>
      <c r="H114" t="str">
        <f t="shared" si="6"/>
        <v>High</v>
      </c>
      <c r="I114">
        <v>864</v>
      </c>
      <c r="J114">
        <v>268.19</v>
      </c>
      <c r="K114" s="3">
        <f t="shared" si="7"/>
        <v>0.31040509259259258</v>
      </c>
      <c r="L114">
        <v>8</v>
      </c>
      <c r="M114" t="s">
        <v>13</v>
      </c>
    </row>
    <row r="115" spans="1:13" x14ac:dyDescent="0.25">
      <c r="A115">
        <v>1114</v>
      </c>
      <c r="B115">
        <f t="shared" si="4"/>
        <v>2023</v>
      </c>
      <c r="C115" t="str">
        <f t="shared" si="5"/>
        <v>July</v>
      </c>
      <c r="D115" t="s">
        <v>127</v>
      </c>
      <c r="E115" t="s">
        <v>19</v>
      </c>
      <c r="F115" t="s">
        <v>20</v>
      </c>
      <c r="G115" t="s">
        <v>21</v>
      </c>
      <c r="H115" t="str">
        <f t="shared" si="6"/>
        <v>High</v>
      </c>
      <c r="I115">
        <v>6850</v>
      </c>
      <c r="J115">
        <v>588.58000000000004</v>
      </c>
      <c r="K115" s="3">
        <f t="shared" si="7"/>
        <v>8.5924087591240886E-2</v>
      </c>
      <c r="L115">
        <v>10</v>
      </c>
      <c r="M115" t="s">
        <v>13</v>
      </c>
    </row>
    <row r="116" spans="1:13" x14ac:dyDescent="0.25">
      <c r="A116">
        <v>1115</v>
      </c>
      <c r="B116">
        <f t="shared" si="4"/>
        <v>2023</v>
      </c>
      <c r="C116" t="str">
        <f t="shared" si="5"/>
        <v>October</v>
      </c>
      <c r="D116" t="s">
        <v>128</v>
      </c>
      <c r="E116" t="s">
        <v>24</v>
      </c>
      <c r="F116" t="s">
        <v>11</v>
      </c>
      <c r="G116" t="s">
        <v>84</v>
      </c>
      <c r="H116" t="str">
        <f t="shared" si="6"/>
        <v>Low</v>
      </c>
      <c r="I116">
        <v>68</v>
      </c>
      <c r="J116">
        <v>16.59</v>
      </c>
      <c r="K116" s="3">
        <f t="shared" si="7"/>
        <v>0.24397058823529411</v>
      </c>
      <c r="L116">
        <v>1</v>
      </c>
      <c r="M116" t="s">
        <v>30</v>
      </c>
    </row>
    <row r="117" spans="1:13" x14ac:dyDescent="0.25">
      <c r="A117">
        <v>1116</v>
      </c>
      <c r="B117">
        <f t="shared" si="4"/>
        <v>2023</v>
      </c>
      <c r="C117" t="str">
        <f t="shared" si="5"/>
        <v>May</v>
      </c>
      <c r="D117" t="s">
        <v>126</v>
      </c>
      <c r="E117" t="s">
        <v>17</v>
      </c>
      <c r="F117" t="s">
        <v>27</v>
      </c>
      <c r="G117" t="s">
        <v>36</v>
      </c>
      <c r="H117" t="str">
        <f t="shared" si="6"/>
        <v>High</v>
      </c>
      <c r="I117">
        <v>2376</v>
      </c>
      <c r="J117">
        <v>215.37</v>
      </c>
      <c r="K117" s="3">
        <f t="shared" si="7"/>
        <v>9.0643939393939402E-2</v>
      </c>
      <c r="L117">
        <v>3</v>
      </c>
      <c r="M117" t="s">
        <v>13</v>
      </c>
    </row>
    <row r="118" spans="1:13" x14ac:dyDescent="0.25">
      <c r="A118">
        <v>1117</v>
      </c>
      <c r="B118">
        <f t="shared" si="4"/>
        <v>2023</v>
      </c>
      <c r="C118" t="str">
        <f t="shared" si="5"/>
        <v>March</v>
      </c>
      <c r="D118" t="s">
        <v>129</v>
      </c>
      <c r="E118" t="s">
        <v>24</v>
      </c>
      <c r="F118" t="s">
        <v>27</v>
      </c>
      <c r="G118" t="s">
        <v>28</v>
      </c>
      <c r="H118" t="str">
        <f t="shared" si="6"/>
        <v>High</v>
      </c>
      <c r="I118">
        <v>968</v>
      </c>
      <c r="J118">
        <v>123.35</v>
      </c>
      <c r="K118" s="3">
        <f t="shared" si="7"/>
        <v>0.12742768595041321</v>
      </c>
      <c r="L118">
        <v>2</v>
      </c>
      <c r="M118" t="s">
        <v>13</v>
      </c>
    </row>
    <row r="119" spans="1:13" x14ac:dyDescent="0.25">
      <c r="A119">
        <v>1118</v>
      </c>
      <c r="B119">
        <f t="shared" si="4"/>
        <v>2023</v>
      </c>
      <c r="C119" t="str">
        <f t="shared" si="5"/>
        <v>September</v>
      </c>
      <c r="D119" t="s">
        <v>130</v>
      </c>
      <c r="E119" t="s">
        <v>24</v>
      </c>
      <c r="F119" t="s">
        <v>20</v>
      </c>
      <c r="G119" t="s">
        <v>39</v>
      </c>
      <c r="H119" t="str">
        <f t="shared" si="6"/>
        <v>High</v>
      </c>
      <c r="I119">
        <v>2080</v>
      </c>
      <c r="J119">
        <v>709.68</v>
      </c>
      <c r="K119" s="3">
        <f t="shared" si="7"/>
        <v>0.34119230769230768</v>
      </c>
      <c r="L119">
        <v>5</v>
      </c>
      <c r="M119" t="s">
        <v>13</v>
      </c>
    </row>
    <row r="120" spans="1:13" x14ac:dyDescent="0.25">
      <c r="A120">
        <v>1119</v>
      </c>
      <c r="B120">
        <f t="shared" si="4"/>
        <v>2023</v>
      </c>
      <c r="C120" t="str">
        <f t="shared" si="5"/>
        <v>February</v>
      </c>
      <c r="D120" t="s">
        <v>131</v>
      </c>
      <c r="E120" t="s">
        <v>10</v>
      </c>
      <c r="F120" t="s">
        <v>27</v>
      </c>
      <c r="G120" t="s">
        <v>73</v>
      </c>
      <c r="H120" t="str">
        <f t="shared" si="6"/>
        <v>High</v>
      </c>
      <c r="I120">
        <v>2526</v>
      </c>
      <c r="J120">
        <v>662.04</v>
      </c>
      <c r="K120" s="3">
        <f t="shared" si="7"/>
        <v>0.26209026128266033</v>
      </c>
      <c r="L120">
        <v>3</v>
      </c>
      <c r="M120" t="s">
        <v>22</v>
      </c>
    </row>
    <row r="121" spans="1:13" x14ac:dyDescent="0.25">
      <c r="A121">
        <v>1120</v>
      </c>
      <c r="B121">
        <f t="shared" si="4"/>
        <v>2023</v>
      </c>
      <c r="C121" t="str">
        <f t="shared" si="5"/>
        <v>January</v>
      </c>
      <c r="D121" t="s">
        <v>132</v>
      </c>
      <c r="E121" t="s">
        <v>10</v>
      </c>
      <c r="F121" t="s">
        <v>27</v>
      </c>
      <c r="G121" t="s">
        <v>73</v>
      </c>
      <c r="H121" t="str">
        <f t="shared" si="6"/>
        <v>High</v>
      </c>
      <c r="I121">
        <v>1380</v>
      </c>
      <c r="J121">
        <v>247.74</v>
      </c>
      <c r="K121" s="3">
        <f t="shared" si="7"/>
        <v>0.17952173913043479</v>
      </c>
      <c r="L121">
        <v>5</v>
      </c>
      <c r="M121" t="s">
        <v>22</v>
      </c>
    </row>
    <row r="122" spans="1:13" x14ac:dyDescent="0.25">
      <c r="A122">
        <v>1121</v>
      </c>
      <c r="B122">
        <f t="shared" si="4"/>
        <v>2023</v>
      </c>
      <c r="C122" t="str">
        <f t="shared" si="5"/>
        <v>July</v>
      </c>
      <c r="D122" t="s">
        <v>133</v>
      </c>
      <c r="E122" t="s">
        <v>19</v>
      </c>
      <c r="F122" t="s">
        <v>11</v>
      </c>
      <c r="G122" t="s">
        <v>44</v>
      </c>
      <c r="H122" t="str">
        <f t="shared" si="6"/>
        <v>Low</v>
      </c>
      <c r="I122">
        <v>32</v>
      </c>
      <c r="J122">
        <v>7.91</v>
      </c>
      <c r="K122" s="3">
        <f t="shared" si="7"/>
        <v>0.2471875</v>
      </c>
      <c r="L122">
        <v>2</v>
      </c>
      <c r="M122" t="s">
        <v>13</v>
      </c>
    </row>
    <row r="123" spans="1:13" x14ac:dyDescent="0.25">
      <c r="A123">
        <v>1122</v>
      </c>
      <c r="B123">
        <f t="shared" si="4"/>
        <v>2023</v>
      </c>
      <c r="C123" t="str">
        <f t="shared" si="5"/>
        <v>February</v>
      </c>
      <c r="D123" t="s">
        <v>134</v>
      </c>
      <c r="E123" t="s">
        <v>17</v>
      </c>
      <c r="F123" t="s">
        <v>11</v>
      </c>
      <c r="G123" t="s">
        <v>44</v>
      </c>
      <c r="H123" t="str">
        <f t="shared" si="6"/>
        <v>High</v>
      </c>
      <c r="I123">
        <v>912</v>
      </c>
      <c r="J123">
        <v>101.69</v>
      </c>
      <c r="K123" s="3">
        <f t="shared" si="7"/>
        <v>0.11150219298245614</v>
      </c>
      <c r="L123">
        <v>8</v>
      </c>
      <c r="M123" t="s">
        <v>13</v>
      </c>
    </row>
    <row r="124" spans="1:13" x14ac:dyDescent="0.25">
      <c r="A124">
        <v>1123</v>
      </c>
      <c r="B124">
        <f t="shared" si="4"/>
        <v>2023</v>
      </c>
      <c r="C124" t="str">
        <f t="shared" si="5"/>
        <v>March</v>
      </c>
      <c r="D124" t="s">
        <v>135</v>
      </c>
      <c r="E124" t="s">
        <v>24</v>
      </c>
      <c r="F124" t="s">
        <v>20</v>
      </c>
      <c r="G124" t="s">
        <v>42</v>
      </c>
      <c r="H124" t="str">
        <f t="shared" si="6"/>
        <v>High</v>
      </c>
      <c r="I124">
        <v>1120</v>
      </c>
      <c r="J124">
        <v>207.13</v>
      </c>
      <c r="K124" s="3">
        <f t="shared" si="7"/>
        <v>0.1849375</v>
      </c>
      <c r="L124">
        <v>2</v>
      </c>
      <c r="M124" t="s">
        <v>22</v>
      </c>
    </row>
    <row r="125" spans="1:13" x14ac:dyDescent="0.25">
      <c r="A125">
        <v>1124</v>
      </c>
      <c r="B125">
        <f t="shared" si="4"/>
        <v>2023</v>
      </c>
      <c r="C125" t="str">
        <f t="shared" si="5"/>
        <v>December</v>
      </c>
      <c r="D125" t="s">
        <v>136</v>
      </c>
      <c r="E125" t="s">
        <v>17</v>
      </c>
      <c r="F125" t="s">
        <v>27</v>
      </c>
      <c r="G125" t="s">
        <v>95</v>
      </c>
      <c r="H125" t="str">
        <f t="shared" si="6"/>
        <v>High</v>
      </c>
      <c r="I125">
        <v>1560</v>
      </c>
      <c r="J125">
        <v>520.33000000000004</v>
      </c>
      <c r="K125" s="3">
        <f t="shared" si="7"/>
        <v>0.3335448717948718</v>
      </c>
      <c r="L125">
        <v>2</v>
      </c>
      <c r="M125" t="s">
        <v>22</v>
      </c>
    </row>
    <row r="126" spans="1:13" x14ac:dyDescent="0.25">
      <c r="A126">
        <v>1125</v>
      </c>
      <c r="B126">
        <f t="shared" si="4"/>
        <v>2023</v>
      </c>
      <c r="C126" t="str">
        <f t="shared" si="5"/>
        <v>August</v>
      </c>
      <c r="D126" t="s">
        <v>137</v>
      </c>
      <c r="E126" t="s">
        <v>24</v>
      </c>
      <c r="F126" t="s">
        <v>27</v>
      </c>
      <c r="G126" t="s">
        <v>28</v>
      </c>
      <c r="H126" t="str">
        <f t="shared" si="6"/>
        <v>High</v>
      </c>
      <c r="I126">
        <v>4168</v>
      </c>
      <c r="J126">
        <v>1437.34</v>
      </c>
      <c r="K126" s="3">
        <f t="shared" si="7"/>
        <v>0.34485124760076774</v>
      </c>
      <c r="L126">
        <v>8</v>
      </c>
      <c r="M126" t="s">
        <v>30</v>
      </c>
    </row>
    <row r="127" spans="1:13" x14ac:dyDescent="0.25">
      <c r="A127">
        <v>1126</v>
      </c>
      <c r="B127">
        <f t="shared" si="4"/>
        <v>2023</v>
      </c>
      <c r="C127" t="str">
        <f t="shared" si="5"/>
        <v>May</v>
      </c>
      <c r="D127" t="s">
        <v>121</v>
      </c>
      <c r="E127" t="s">
        <v>10</v>
      </c>
      <c r="F127" t="s">
        <v>27</v>
      </c>
      <c r="G127" t="s">
        <v>73</v>
      </c>
      <c r="H127" t="str">
        <f t="shared" si="6"/>
        <v>High</v>
      </c>
      <c r="I127">
        <v>2460</v>
      </c>
      <c r="J127">
        <v>637.01</v>
      </c>
      <c r="K127" s="3">
        <f t="shared" si="7"/>
        <v>0.2589471544715447</v>
      </c>
      <c r="L127">
        <v>4</v>
      </c>
      <c r="M127" t="s">
        <v>22</v>
      </c>
    </row>
    <row r="128" spans="1:13" x14ac:dyDescent="0.25">
      <c r="A128">
        <v>1127</v>
      </c>
      <c r="B128">
        <f t="shared" si="4"/>
        <v>2023</v>
      </c>
      <c r="C128" t="str">
        <f t="shared" si="5"/>
        <v>June</v>
      </c>
      <c r="D128" t="s">
        <v>138</v>
      </c>
      <c r="E128" t="s">
        <v>10</v>
      </c>
      <c r="F128" t="s">
        <v>11</v>
      </c>
      <c r="G128" t="s">
        <v>15</v>
      </c>
      <c r="H128" t="str">
        <f t="shared" si="6"/>
        <v>Medium</v>
      </c>
      <c r="I128">
        <v>248</v>
      </c>
      <c r="J128">
        <v>24.43</v>
      </c>
      <c r="K128" s="3">
        <f t="shared" si="7"/>
        <v>9.8508064516129035E-2</v>
      </c>
      <c r="L128">
        <v>4</v>
      </c>
      <c r="M128" t="s">
        <v>30</v>
      </c>
    </row>
    <row r="129" spans="1:13" x14ac:dyDescent="0.25">
      <c r="A129">
        <v>1128</v>
      </c>
      <c r="B129">
        <f t="shared" si="4"/>
        <v>2023</v>
      </c>
      <c r="C129" t="str">
        <f t="shared" si="5"/>
        <v>June</v>
      </c>
      <c r="D129" t="s">
        <v>139</v>
      </c>
      <c r="E129" t="s">
        <v>17</v>
      </c>
      <c r="F129" t="s">
        <v>11</v>
      </c>
      <c r="G129" t="s">
        <v>33</v>
      </c>
      <c r="H129" t="str">
        <f t="shared" si="6"/>
        <v>Low</v>
      </c>
      <c r="I129">
        <v>141</v>
      </c>
      <c r="J129">
        <v>48.88</v>
      </c>
      <c r="K129" s="3">
        <f t="shared" si="7"/>
        <v>0.34666666666666668</v>
      </c>
      <c r="L129">
        <v>3</v>
      </c>
      <c r="M129" t="s">
        <v>30</v>
      </c>
    </row>
    <row r="130" spans="1:13" x14ac:dyDescent="0.25">
      <c r="A130">
        <v>1129</v>
      </c>
      <c r="B130">
        <f t="shared" ref="B130:B193" si="8">YEAR(D130)</f>
        <v>2023</v>
      </c>
      <c r="C130" t="str">
        <f t="shared" ref="C130:C193" si="9">TEXT(D130,"mmmm")</f>
        <v>December</v>
      </c>
      <c r="D130" t="s">
        <v>140</v>
      </c>
      <c r="E130" t="s">
        <v>17</v>
      </c>
      <c r="F130" t="s">
        <v>11</v>
      </c>
      <c r="G130" t="s">
        <v>44</v>
      </c>
      <c r="H130" t="str">
        <f t="shared" ref="H130:H193" si="10">IF(I130&lt;=200,"Low",IF(I130&lt;=600,"Medium","High"))</f>
        <v>Low</v>
      </c>
      <c r="I130">
        <v>101</v>
      </c>
      <c r="J130">
        <v>29.62</v>
      </c>
      <c r="K130" s="3">
        <f t="shared" ref="K130:K193" si="11">J130/I130</f>
        <v>0.29326732673267325</v>
      </c>
      <c r="L130">
        <v>1</v>
      </c>
      <c r="M130" t="s">
        <v>30</v>
      </c>
    </row>
    <row r="131" spans="1:13" x14ac:dyDescent="0.25">
      <c r="A131">
        <v>1130</v>
      </c>
      <c r="B131">
        <f t="shared" si="8"/>
        <v>2023</v>
      </c>
      <c r="C131" t="str">
        <f t="shared" si="9"/>
        <v>March</v>
      </c>
      <c r="D131" t="s">
        <v>141</v>
      </c>
      <c r="E131" t="s">
        <v>24</v>
      </c>
      <c r="F131" t="s">
        <v>20</v>
      </c>
      <c r="G131" t="s">
        <v>39</v>
      </c>
      <c r="H131" t="str">
        <f t="shared" si="10"/>
        <v>High</v>
      </c>
      <c r="I131">
        <v>935</v>
      </c>
      <c r="J131">
        <v>181.07</v>
      </c>
      <c r="K131" s="3">
        <f t="shared" si="11"/>
        <v>0.19365775401069518</v>
      </c>
      <c r="L131">
        <v>5</v>
      </c>
      <c r="M131" t="s">
        <v>30</v>
      </c>
    </row>
    <row r="132" spans="1:13" x14ac:dyDescent="0.25">
      <c r="A132">
        <v>1131</v>
      </c>
      <c r="B132">
        <f t="shared" si="8"/>
        <v>2023</v>
      </c>
      <c r="C132" t="str">
        <f t="shared" si="9"/>
        <v>July</v>
      </c>
      <c r="D132" t="s">
        <v>142</v>
      </c>
      <c r="E132" t="s">
        <v>19</v>
      </c>
      <c r="F132" t="s">
        <v>20</v>
      </c>
      <c r="G132" t="s">
        <v>42</v>
      </c>
      <c r="H132" t="str">
        <f t="shared" si="10"/>
        <v>High</v>
      </c>
      <c r="I132">
        <v>2727</v>
      </c>
      <c r="J132">
        <v>381.28</v>
      </c>
      <c r="K132" s="3">
        <f t="shared" si="11"/>
        <v>0.13981664833149982</v>
      </c>
      <c r="L132">
        <v>9</v>
      </c>
      <c r="M132" t="s">
        <v>22</v>
      </c>
    </row>
    <row r="133" spans="1:13" x14ac:dyDescent="0.25">
      <c r="A133">
        <v>1132</v>
      </c>
      <c r="B133">
        <f t="shared" si="8"/>
        <v>2023</v>
      </c>
      <c r="C133" t="str">
        <f t="shared" si="9"/>
        <v>November</v>
      </c>
      <c r="D133" t="s">
        <v>35</v>
      </c>
      <c r="E133" t="s">
        <v>24</v>
      </c>
      <c r="F133" t="s">
        <v>11</v>
      </c>
      <c r="G133" t="s">
        <v>12</v>
      </c>
      <c r="H133" t="str">
        <f t="shared" si="10"/>
        <v>Low</v>
      </c>
      <c r="I133">
        <v>112</v>
      </c>
      <c r="J133">
        <v>21.85</v>
      </c>
      <c r="K133" s="3">
        <f t="shared" si="11"/>
        <v>0.19508928571428572</v>
      </c>
      <c r="L133">
        <v>1</v>
      </c>
      <c r="M133" t="s">
        <v>22</v>
      </c>
    </row>
    <row r="134" spans="1:13" x14ac:dyDescent="0.25">
      <c r="A134">
        <v>1133</v>
      </c>
      <c r="B134">
        <f t="shared" si="8"/>
        <v>2023</v>
      </c>
      <c r="C134" t="str">
        <f t="shared" si="9"/>
        <v>February</v>
      </c>
      <c r="D134" t="s">
        <v>60</v>
      </c>
      <c r="E134" t="s">
        <v>19</v>
      </c>
      <c r="F134" t="s">
        <v>20</v>
      </c>
      <c r="G134" t="s">
        <v>55</v>
      </c>
      <c r="H134" t="str">
        <f t="shared" si="10"/>
        <v>High</v>
      </c>
      <c r="I134">
        <v>2298</v>
      </c>
      <c r="J134">
        <v>354.48</v>
      </c>
      <c r="K134" s="3">
        <f t="shared" si="11"/>
        <v>0.15425587467362925</v>
      </c>
      <c r="L134">
        <v>6</v>
      </c>
      <c r="M134" t="s">
        <v>30</v>
      </c>
    </row>
    <row r="135" spans="1:13" x14ac:dyDescent="0.25">
      <c r="A135">
        <v>1134</v>
      </c>
      <c r="B135">
        <f t="shared" si="8"/>
        <v>2023</v>
      </c>
      <c r="C135" t="str">
        <f t="shared" si="9"/>
        <v>November</v>
      </c>
      <c r="D135" t="s">
        <v>40</v>
      </c>
      <c r="E135" t="s">
        <v>24</v>
      </c>
      <c r="F135" t="s">
        <v>11</v>
      </c>
      <c r="G135" t="s">
        <v>15</v>
      </c>
      <c r="H135" t="str">
        <f t="shared" si="10"/>
        <v>High</v>
      </c>
      <c r="I135">
        <v>1251</v>
      </c>
      <c r="J135">
        <v>304.58</v>
      </c>
      <c r="K135" s="3">
        <f t="shared" si="11"/>
        <v>0.24346922462030374</v>
      </c>
      <c r="L135">
        <v>9</v>
      </c>
      <c r="M135" t="s">
        <v>22</v>
      </c>
    </row>
    <row r="136" spans="1:13" x14ac:dyDescent="0.25">
      <c r="A136">
        <v>1135</v>
      </c>
      <c r="B136">
        <f t="shared" si="8"/>
        <v>2023</v>
      </c>
      <c r="C136" t="str">
        <f t="shared" si="9"/>
        <v>August</v>
      </c>
      <c r="D136" t="s">
        <v>143</v>
      </c>
      <c r="E136" t="s">
        <v>17</v>
      </c>
      <c r="F136" t="s">
        <v>20</v>
      </c>
      <c r="G136" t="s">
        <v>42</v>
      </c>
      <c r="H136" t="str">
        <f t="shared" si="10"/>
        <v>High</v>
      </c>
      <c r="I136">
        <v>3708</v>
      </c>
      <c r="J136">
        <v>695.83</v>
      </c>
      <c r="K136" s="3">
        <f t="shared" si="11"/>
        <v>0.18765641855447682</v>
      </c>
      <c r="L136">
        <v>4</v>
      </c>
      <c r="M136" t="s">
        <v>22</v>
      </c>
    </row>
    <row r="137" spans="1:13" x14ac:dyDescent="0.25">
      <c r="A137">
        <v>1136</v>
      </c>
      <c r="B137">
        <f t="shared" si="8"/>
        <v>2023</v>
      </c>
      <c r="C137" t="str">
        <f t="shared" si="9"/>
        <v>June</v>
      </c>
      <c r="D137" t="s">
        <v>144</v>
      </c>
      <c r="E137" t="s">
        <v>24</v>
      </c>
      <c r="F137" t="s">
        <v>11</v>
      </c>
      <c r="G137" t="s">
        <v>12</v>
      </c>
      <c r="H137" t="str">
        <f t="shared" si="10"/>
        <v>High</v>
      </c>
      <c r="I137">
        <v>925</v>
      </c>
      <c r="J137">
        <v>304.52</v>
      </c>
      <c r="K137" s="3">
        <f t="shared" si="11"/>
        <v>0.32921081081081077</v>
      </c>
      <c r="L137">
        <v>5</v>
      </c>
      <c r="M137" t="s">
        <v>22</v>
      </c>
    </row>
    <row r="138" spans="1:13" x14ac:dyDescent="0.25">
      <c r="A138">
        <v>1137</v>
      </c>
      <c r="B138">
        <f t="shared" si="8"/>
        <v>2023</v>
      </c>
      <c r="C138" t="str">
        <f t="shared" si="9"/>
        <v>August</v>
      </c>
      <c r="D138" t="s">
        <v>145</v>
      </c>
      <c r="E138" t="s">
        <v>10</v>
      </c>
      <c r="F138" t="s">
        <v>20</v>
      </c>
      <c r="G138" t="s">
        <v>42</v>
      </c>
      <c r="H138" t="str">
        <f t="shared" si="10"/>
        <v>High</v>
      </c>
      <c r="I138">
        <v>1686</v>
      </c>
      <c r="J138">
        <v>162.18</v>
      </c>
      <c r="K138" s="3">
        <f t="shared" si="11"/>
        <v>9.619217081850534E-2</v>
      </c>
      <c r="L138">
        <v>2</v>
      </c>
      <c r="M138" t="s">
        <v>30</v>
      </c>
    </row>
    <row r="139" spans="1:13" x14ac:dyDescent="0.25">
      <c r="A139">
        <v>1138</v>
      </c>
      <c r="B139">
        <f t="shared" si="8"/>
        <v>2023</v>
      </c>
      <c r="C139" t="str">
        <f t="shared" si="9"/>
        <v>March</v>
      </c>
      <c r="D139" t="s">
        <v>146</v>
      </c>
      <c r="E139" t="s">
        <v>24</v>
      </c>
      <c r="F139" t="s">
        <v>11</v>
      </c>
      <c r="G139" t="s">
        <v>15</v>
      </c>
      <c r="H139" t="str">
        <f t="shared" si="10"/>
        <v>High</v>
      </c>
      <c r="I139">
        <v>826</v>
      </c>
      <c r="J139">
        <v>259.68</v>
      </c>
      <c r="K139" s="3">
        <f t="shared" si="11"/>
        <v>0.31438256658595642</v>
      </c>
      <c r="L139">
        <v>7</v>
      </c>
      <c r="M139" t="s">
        <v>13</v>
      </c>
    </row>
    <row r="140" spans="1:13" x14ac:dyDescent="0.25">
      <c r="A140">
        <v>1139</v>
      </c>
      <c r="B140">
        <f t="shared" si="8"/>
        <v>2023</v>
      </c>
      <c r="C140" t="str">
        <f t="shared" si="9"/>
        <v>June</v>
      </c>
      <c r="D140" t="s">
        <v>48</v>
      </c>
      <c r="E140" t="s">
        <v>24</v>
      </c>
      <c r="F140" t="s">
        <v>11</v>
      </c>
      <c r="G140" t="s">
        <v>12</v>
      </c>
      <c r="H140" t="str">
        <f t="shared" si="10"/>
        <v>High</v>
      </c>
      <c r="I140">
        <v>834</v>
      </c>
      <c r="J140">
        <v>114.62</v>
      </c>
      <c r="K140" s="3">
        <f t="shared" si="11"/>
        <v>0.13743405275779377</v>
      </c>
      <c r="L140">
        <v>6</v>
      </c>
      <c r="M140" t="s">
        <v>13</v>
      </c>
    </row>
    <row r="141" spans="1:13" x14ac:dyDescent="0.25">
      <c r="A141">
        <v>1140</v>
      </c>
      <c r="B141">
        <f t="shared" si="8"/>
        <v>2023</v>
      </c>
      <c r="C141" t="str">
        <f t="shared" si="9"/>
        <v>June</v>
      </c>
      <c r="D141" t="s">
        <v>147</v>
      </c>
      <c r="E141" t="s">
        <v>17</v>
      </c>
      <c r="F141" t="s">
        <v>11</v>
      </c>
      <c r="G141" t="s">
        <v>84</v>
      </c>
      <c r="H141" t="str">
        <f t="shared" si="10"/>
        <v>High</v>
      </c>
      <c r="I141">
        <v>729</v>
      </c>
      <c r="J141">
        <v>171.32</v>
      </c>
      <c r="K141" s="3">
        <f t="shared" si="11"/>
        <v>0.2350068587105624</v>
      </c>
      <c r="L141">
        <v>9</v>
      </c>
      <c r="M141" t="s">
        <v>30</v>
      </c>
    </row>
    <row r="142" spans="1:13" x14ac:dyDescent="0.25">
      <c r="A142">
        <v>1141</v>
      </c>
      <c r="B142">
        <f t="shared" si="8"/>
        <v>2023</v>
      </c>
      <c r="C142" t="str">
        <f t="shared" si="9"/>
        <v>April</v>
      </c>
      <c r="D142" t="s">
        <v>114</v>
      </c>
      <c r="E142" t="s">
        <v>24</v>
      </c>
      <c r="F142" t="s">
        <v>27</v>
      </c>
      <c r="G142" t="s">
        <v>28</v>
      </c>
      <c r="H142" t="str">
        <f t="shared" si="10"/>
        <v>High</v>
      </c>
      <c r="I142">
        <v>2485</v>
      </c>
      <c r="J142">
        <v>202.9</v>
      </c>
      <c r="K142" s="3">
        <f t="shared" si="11"/>
        <v>8.1649899396378275E-2</v>
      </c>
      <c r="L142">
        <v>5</v>
      </c>
      <c r="M142" t="s">
        <v>30</v>
      </c>
    </row>
    <row r="143" spans="1:13" x14ac:dyDescent="0.25">
      <c r="A143">
        <v>1142</v>
      </c>
      <c r="B143">
        <f t="shared" si="8"/>
        <v>2023</v>
      </c>
      <c r="C143" t="str">
        <f t="shared" si="9"/>
        <v>March</v>
      </c>
      <c r="D143" t="s">
        <v>148</v>
      </c>
      <c r="E143" t="s">
        <v>19</v>
      </c>
      <c r="F143" t="s">
        <v>20</v>
      </c>
      <c r="G143" t="s">
        <v>39</v>
      </c>
      <c r="H143" t="str">
        <f t="shared" si="10"/>
        <v>Medium</v>
      </c>
      <c r="I143">
        <v>267</v>
      </c>
      <c r="J143">
        <v>48.48</v>
      </c>
      <c r="K143" s="3">
        <f t="shared" si="11"/>
        <v>0.18157303370786515</v>
      </c>
      <c r="L143">
        <v>1</v>
      </c>
      <c r="M143" t="s">
        <v>30</v>
      </c>
    </row>
    <row r="144" spans="1:13" x14ac:dyDescent="0.25">
      <c r="A144">
        <v>1143</v>
      </c>
      <c r="B144">
        <f t="shared" si="8"/>
        <v>2023</v>
      </c>
      <c r="C144" t="str">
        <f t="shared" si="9"/>
        <v>June</v>
      </c>
      <c r="D144" t="s">
        <v>48</v>
      </c>
      <c r="E144" t="s">
        <v>17</v>
      </c>
      <c r="F144" t="s">
        <v>27</v>
      </c>
      <c r="G144" t="s">
        <v>73</v>
      </c>
      <c r="H144" t="str">
        <f t="shared" si="10"/>
        <v>High</v>
      </c>
      <c r="I144">
        <v>1218</v>
      </c>
      <c r="J144">
        <v>149.21</v>
      </c>
      <c r="K144" s="3">
        <f t="shared" si="11"/>
        <v>0.122504105090312</v>
      </c>
      <c r="L144">
        <v>6</v>
      </c>
      <c r="M144" t="s">
        <v>22</v>
      </c>
    </row>
    <row r="145" spans="1:13" x14ac:dyDescent="0.25">
      <c r="A145">
        <v>1144</v>
      </c>
      <c r="B145">
        <f t="shared" si="8"/>
        <v>2023</v>
      </c>
      <c r="C145" t="str">
        <f t="shared" si="9"/>
        <v>August</v>
      </c>
      <c r="D145" t="s">
        <v>67</v>
      </c>
      <c r="E145" t="s">
        <v>10</v>
      </c>
      <c r="F145" t="s">
        <v>11</v>
      </c>
      <c r="G145" t="s">
        <v>12</v>
      </c>
      <c r="H145" t="str">
        <f t="shared" si="10"/>
        <v>High</v>
      </c>
      <c r="I145">
        <v>861</v>
      </c>
      <c r="J145">
        <v>165.17</v>
      </c>
      <c r="K145" s="3">
        <f t="shared" si="11"/>
        <v>0.19183507549361206</v>
      </c>
      <c r="L145">
        <v>7</v>
      </c>
      <c r="M145" t="s">
        <v>22</v>
      </c>
    </row>
    <row r="146" spans="1:13" x14ac:dyDescent="0.25">
      <c r="A146">
        <v>1145</v>
      </c>
      <c r="B146">
        <f t="shared" si="8"/>
        <v>2023</v>
      </c>
      <c r="C146" t="str">
        <f t="shared" si="9"/>
        <v>August</v>
      </c>
      <c r="D146" t="s">
        <v>52</v>
      </c>
      <c r="E146" t="s">
        <v>10</v>
      </c>
      <c r="F146" t="s">
        <v>20</v>
      </c>
      <c r="G146" t="s">
        <v>39</v>
      </c>
      <c r="H146" t="str">
        <f t="shared" si="10"/>
        <v>High</v>
      </c>
      <c r="I146">
        <v>1320</v>
      </c>
      <c r="J146">
        <v>316.99</v>
      </c>
      <c r="K146" s="3">
        <f t="shared" si="11"/>
        <v>0.24014393939393941</v>
      </c>
      <c r="L146">
        <v>2</v>
      </c>
      <c r="M146" t="s">
        <v>22</v>
      </c>
    </row>
    <row r="147" spans="1:13" x14ac:dyDescent="0.25">
      <c r="A147">
        <v>1146</v>
      </c>
      <c r="B147">
        <f t="shared" si="8"/>
        <v>2023</v>
      </c>
      <c r="C147" t="str">
        <f t="shared" si="9"/>
        <v>July</v>
      </c>
      <c r="D147" t="s">
        <v>61</v>
      </c>
      <c r="E147" t="s">
        <v>10</v>
      </c>
      <c r="F147" t="s">
        <v>11</v>
      </c>
      <c r="G147" t="s">
        <v>44</v>
      </c>
      <c r="H147" t="str">
        <f t="shared" si="10"/>
        <v>High</v>
      </c>
      <c r="I147">
        <v>620</v>
      </c>
      <c r="J147">
        <v>100.06</v>
      </c>
      <c r="K147" s="3">
        <f t="shared" si="11"/>
        <v>0.16138709677419355</v>
      </c>
      <c r="L147">
        <v>10</v>
      </c>
      <c r="M147" t="s">
        <v>30</v>
      </c>
    </row>
    <row r="148" spans="1:13" x14ac:dyDescent="0.25">
      <c r="A148">
        <v>1147</v>
      </c>
      <c r="B148">
        <f t="shared" si="8"/>
        <v>2023</v>
      </c>
      <c r="C148" t="str">
        <f t="shared" si="9"/>
        <v>June</v>
      </c>
      <c r="D148" t="s">
        <v>149</v>
      </c>
      <c r="E148" t="s">
        <v>24</v>
      </c>
      <c r="F148" t="s">
        <v>20</v>
      </c>
      <c r="G148" t="s">
        <v>21</v>
      </c>
      <c r="H148" t="str">
        <f t="shared" si="10"/>
        <v>Low</v>
      </c>
      <c r="I148">
        <v>190</v>
      </c>
      <c r="J148">
        <v>24.21</v>
      </c>
      <c r="K148" s="3">
        <f t="shared" si="11"/>
        <v>0.12742105263157896</v>
      </c>
      <c r="L148">
        <v>2</v>
      </c>
      <c r="M148" t="s">
        <v>22</v>
      </c>
    </row>
    <row r="149" spans="1:13" x14ac:dyDescent="0.25">
      <c r="A149">
        <v>1148</v>
      </c>
      <c r="B149">
        <f t="shared" si="8"/>
        <v>2023</v>
      </c>
      <c r="C149" t="str">
        <f t="shared" si="9"/>
        <v>July</v>
      </c>
      <c r="D149" t="s">
        <v>150</v>
      </c>
      <c r="E149" t="s">
        <v>24</v>
      </c>
      <c r="F149" t="s">
        <v>27</v>
      </c>
      <c r="G149" t="s">
        <v>36</v>
      </c>
      <c r="H149" t="str">
        <f t="shared" si="10"/>
        <v>Low</v>
      </c>
      <c r="I149">
        <v>169</v>
      </c>
      <c r="J149">
        <v>55.55</v>
      </c>
      <c r="K149" s="3">
        <f t="shared" si="11"/>
        <v>0.32869822485207101</v>
      </c>
      <c r="L149">
        <v>1</v>
      </c>
      <c r="M149" t="s">
        <v>30</v>
      </c>
    </row>
    <row r="150" spans="1:13" x14ac:dyDescent="0.25">
      <c r="A150">
        <v>1149</v>
      </c>
      <c r="B150">
        <f t="shared" si="8"/>
        <v>2023</v>
      </c>
      <c r="C150" t="str">
        <f t="shared" si="9"/>
        <v>November</v>
      </c>
      <c r="D150" t="s">
        <v>151</v>
      </c>
      <c r="E150" t="s">
        <v>19</v>
      </c>
      <c r="F150" t="s">
        <v>27</v>
      </c>
      <c r="G150" t="s">
        <v>95</v>
      </c>
      <c r="H150" t="str">
        <f t="shared" si="10"/>
        <v>High</v>
      </c>
      <c r="I150">
        <v>1869</v>
      </c>
      <c r="J150">
        <v>160.04</v>
      </c>
      <c r="K150" s="3">
        <f t="shared" si="11"/>
        <v>8.5628678437667194E-2</v>
      </c>
      <c r="L150">
        <v>7</v>
      </c>
      <c r="M150" t="s">
        <v>13</v>
      </c>
    </row>
    <row r="151" spans="1:13" x14ac:dyDescent="0.25">
      <c r="A151">
        <v>1150</v>
      </c>
      <c r="B151">
        <f t="shared" si="8"/>
        <v>2023</v>
      </c>
      <c r="C151" t="str">
        <f t="shared" si="9"/>
        <v>July</v>
      </c>
      <c r="D151" t="s">
        <v>142</v>
      </c>
      <c r="E151" t="s">
        <v>19</v>
      </c>
      <c r="F151" t="s">
        <v>27</v>
      </c>
      <c r="G151" t="s">
        <v>36</v>
      </c>
      <c r="H151" t="str">
        <f t="shared" si="10"/>
        <v>Medium</v>
      </c>
      <c r="I151">
        <v>516</v>
      </c>
      <c r="J151">
        <v>101.98</v>
      </c>
      <c r="K151" s="3">
        <f t="shared" si="11"/>
        <v>0.1976356589147287</v>
      </c>
      <c r="L151">
        <v>2</v>
      </c>
      <c r="M151" t="s">
        <v>13</v>
      </c>
    </row>
    <row r="152" spans="1:13" x14ac:dyDescent="0.25">
      <c r="A152">
        <v>1151</v>
      </c>
      <c r="B152">
        <f t="shared" si="8"/>
        <v>2023</v>
      </c>
      <c r="C152" t="str">
        <f t="shared" si="9"/>
        <v>June</v>
      </c>
      <c r="D152" t="s">
        <v>53</v>
      </c>
      <c r="E152" t="s">
        <v>19</v>
      </c>
      <c r="F152" t="s">
        <v>27</v>
      </c>
      <c r="G152" t="s">
        <v>28</v>
      </c>
      <c r="H152" t="str">
        <f t="shared" si="10"/>
        <v>High</v>
      </c>
      <c r="I152">
        <v>1288</v>
      </c>
      <c r="J152">
        <v>280.57</v>
      </c>
      <c r="K152" s="3">
        <f t="shared" si="11"/>
        <v>0.21783385093167701</v>
      </c>
      <c r="L152">
        <v>4</v>
      </c>
      <c r="M152" t="s">
        <v>22</v>
      </c>
    </row>
    <row r="153" spans="1:13" x14ac:dyDescent="0.25">
      <c r="A153">
        <v>1152</v>
      </c>
      <c r="B153">
        <f t="shared" si="8"/>
        <v>2023</v>
      </c>
      <c r="C153" t="str">
        <f t="shared" si="9"/>
        <v>June</v>
      </c>
      <c r="D153" t="s">
        <v>147</v>
      </c>
      <c r="E153" t="s">
        <v>17</v>
      </c>
      <c r="F153" t="s">
        <v>20</v>
      </c>
      <c r="G153" t="s">
        <v>39</v>
      </c>
      <c r="H153" t="str">
        <f t="shared" si="10"/>
        <v>High</v>
      </c>
      <c r="I153">
        <v>1689</v>
      </c>
      <c r="J153">
        <v>251.85</v>
      </c>
      <c r="K153" s="3">
        <f t="shared" si="11"/>
        <v>0.14911190053285966</v>
      </c>
      <c r="L153">
        <v>3</v>
      </c>
      <c r="M153" t="s">
        <v>22</v>
      </c>
    </row>
    <row r="154" spans="1:13" x14ac:dyDescent="0.25">
      <c r="A154">
        <v>1153</v>
      </c>
      <c r="B154">
        <f t="shared" si="8"/>
        <v>2023</v>
      </c>
      <c r="C154" t="str">
        <f t="shared" si="9"/>
        <v>February</v>
      </c>
      <c r="D154" t="s">
        <v>131</v>
      </c>
      <c r="E154" t="s">
        <v>17</v>
      </c>
      <c r="F154" t="s">
        <v>20</v>
      </c>
      <c r="G154" t="s">
        <v>39</v>
      </c>
      <c r="H154" t="str">
        <f t="shared" si="10"/>
        <v>High</v>
      </c>
      <c r="I154">
        <v>3273</v>
      </c>
      <c r="J154">
        <v>933.35</v>
      </c>
      <c r="K154" s="3">
        <f t="shared" si="11"/>
        <v>0.28516651390161929</v>
      </c>
      <c r="L154">
        <v>3</v>
      </c>
      <c r="M154" t="s">
        <v>13</v>
      </c>
    </row>
    <row r="155" spans="1:13" x14ac:dyDescent="0.25">
      <c r="A155">
        <v>1154</v>
      </c>
      <c r="B155">
        <f t="shared" si="8"/>
        <v>2023</v>
      </c>
      <c r="C155" t="str">
        <f t="shared" si="9"/>
        <v>August</v>
      </c>
      <c r="D155" t="s">
        <v>85</v>
      </c>
      <c r="E155" t="s">
        <v>24</v>
      </c>
      <c r="F155" t="s">
        <v>27</v>
      </c>
      <c r="G155" t="s">
        <v>73</v>
      </c>
      <c r="H155" t="str">
        <f t="shared" si="10"/>
        <v>High</v>
      </c>
      <c r="I155">
        <v>1204</v>
      </c>
      <c r="J155">
        <v>194.76</v>
      </c>
      <c r="K155" s="3">
        <f t="shared" si="11"/>
        <v>0.16176079734219267</v>
      </c>
      <c r="L155">
        <v>2</v>
      </c>
      <c r="M155" t="s">
        <v>30</v>
      </c>
    </row>
    <row r="156" spans="1:13" x14ac:dyDescent="0.25">
      <c r="A156">
        <v>1155</v>
      </c>
      <c r="B156">
        <f t="shared" si="8"/>
        <v>2023</v>
      </c>
      <c r="C156" t="str">
        <f t="shared" si="9"/>
        <v>February</v>
      </c>
      <c r="D156" t="s">
        <v>152</v>
      </c>
      <c r="E156" t="s">
        <v>24</v>
      </c>
      <c r="F156" t="s">
        <v>27</v>
      </c>
      <c r="G156" t="s">
        <v>28</v>
      </c>
      <c r="H156" t="str">
        <f t="shared" si="10"/>
        <v>High</v>
      </c>
      <c r="I156">
        <v>3060</v>
      </c>
      <c r="J156">
        <v>291.8</v>
      </c>
      <c r="K156" s="3">
        <f t="shared" si="11"/>
        <v>9.5359477124183009E-2</v>
      </c>
      <c r="L156">
        <v>5</v>
      </c>
      <c r="M156" t="s">
        <v>13</v>
      </c>
    </row>
    <row r="157" spans="1:13" x14ac:dyDescent="0.25">
      <c r="A157">
        <v>1156</v>
      </c>
      <c r="B157">
        <f t="shared" si="8"/>
        <v>2023</v>
      </c>
      <c r="C157" t="str">
        <f t="shared" si="9"/>
        <v>November</v>
      </c>
      <c r="D157" t="s">
        <v>59</v>
      </c>
      <c r="E157" t="s">
        <v>10</v>
      </c>
      <c r="F157" t="s">
        <v>27</v>
      </c>
      <c r="G157" t="s">
        <v>28</v>
      </c>
      <c r="H157" t="str">
        <f t="shared" si="10"/>
        <v>High</v>
      </c>
      <c r="I157">
        <v>5607</v>
      </c>
      <c r="J157">
        <v>1287.73</v>
      </c>
      <c r="K157" s="3">
        <f t="shared" si="11"/>
        <v>0.22966470483324417</v>
      </c>
      <c r="L157">
        <v>9</v>
      </c>
      <c r="M157" t="s">
        <v>13</v>
      </c>
    </row>
    <row r="158" spans="1:13" x14ac:dyDescent="0.25">
      <c r="A158">
        <v>1157</v>
      </c>
      <c r="B158">
        <f t="shared" si="8"/>
        <v>2023</v>
      </c>
      <c r="C158" t="str">
        <f t="shared" si="9"/>
        <v>November</v>
      </c>
      <c r="D158" t="s">
        <v>153</v>
      </c>
      <c r="E158" t="s">
        <v>19</v>
      </c>
      <c r="F158" t="s">
        <v>11</v>
      </c>
      <c r="G158" t="s">
        <v>12</v>
      </c>
      <c r="H158" t="str">
        <f t="shared" si="10"/>
        <v>Medium</v>
      </c>
      <c r="I158">
        <v>524</v>
      </c>
      <c r="J158">
        <v>112.85</v>
      </c>
      <c r="K158" s="3">
        <f t="shared" si="11"/>
        <v>0.21536259541984731</v>
      </c>
      <c r="L158">
        <v>4</v>
      </c>
      <c r="M158" t="s">
        <v>13</v>
      </c>
    </row>
    <row r="159" spans="1:13" x14ac:dyDescent="0.25">
      <c r="A159">
        <v>1158</v>
      </c>
      <c r="B159">
        <f t="shared" si="8"/>
        <v>2023</v>
      </c>
      <c r="C159" t="str">
        <f t="shared" si="9"/>
        <v>February</v>
      </c>
      <c r="D159" t="s">
        <v>154</v>
      </c>
      <c r="E159" t="s">
        <v>10</v>
      </c>
      <c r="F159" t="s">
        <v>20</v>
      </c>
      <c r="G159" t="s">
        <v>55</v>
      </c>
      <c r="H159" t="str">
        <f t="shared" si="10"/>
        <v>High</v>
      </c>
      <c r="I159">
        <v>3897</v>
      </c>
      <c r="J159">
        <v>1056.31</v>
      </c>
      <c r="K159" s="3">
        <f t="shared" si="11"/>
        <v>0.27105722350526046</v>
      </c>
      <c r="L159">
        <v>9</v>
      </c>
      <c r="M159" t="s">
        <v>22</v>
      </c>
    </row>
    <row r="160" spans="1:13" x14ac:dyDescent="0.25">
      <c r="A160">
        <v>1159</v>
      </c>
      <c r="B160">
        <f t="shared" si="8"/>
        <v>2023</v>
      </c>
      <c r="C160" t="str">
        <f t="shared" si="9"/>
        <v>May</v>
      </c>
      <c r="D160" t="s">
        <v>65</v>
      </c>
      <c r="E160" t="s">
        <v>24</v>
      </c>
      <c r="F160" t="s">
        <v>27</v>
      </c>
      <c r="G160" t="s">
        <v>36</v>
      </c>
      <c r="H160" t="str">
        <f t="shared" si="10"/>
        <v>High</v>
      </c>
      <c r="I160">
        <v>3472</v>
      </c>
      <c r="J160">
        <v>838.24</v>
      </c>
      <c r="K160" s="3">
        <f t="shared" si="11"/>
        <v>0.24142857142857144</v>
      </c>
      <c r="L160">
        <v>7</v>
      </c>
      <c r="M160" t="s">
        <v>22</v>
      </c>
    </row>
    <row r="161" spans="1:13" x14ac:dyDescent="0.25">
      <c r="A161">
        <v>1160</v>
      </c>
      <c r="B161">
        <f t="shared" si="8"/>
        <v>2023</v>
      </c>
      <c r="C161" t="str">
        <f t="shared" si="9"/>
        <v>February</v>
      </c>
      <c r="D161" t="s">
        <v>155</v>
      </c>
      <c r="E161" t="s">
        <v>10</v>
      </c>
      <c r="F161" t="s">
        <v>11</v>
      </c>
      <c r="G161" t="s">
        <v>44</v>
      </c>
      <c r="H161" t="str">
        <f t="shared" si="10"/>
        <v>High</v>
      </c>
      <c r="I161">
        <v>666</v>
      </c>
      <c r="J161">
        <v>183.42</v>
      </c>
      <c r="K161" s="3">
        <f t="shared" si="11"/>
        <v>0.27540540540540537</v>
      </c>
      <c r="L161">
        <v>9</v>
      </c>
      <c r="M161" t="s">
        <v>22</v>
      </c>
    </row>
    <row r="162" spans="1:13" x14ac:dyDescent="0.25">
      <c r="A162">
        <v>1161</v>
      </c>
      <c r="B162">
        <f t="shared" si="8"/>
        <v>2023</v>
      </c>
      <c r="C162" t="str">
        <f t="shared" si="9"/>
        <v>February</v>
      </c>
      <c r="D162" t="s">
        <v>60</v>
      </c>
      <c r="E162" t="s">
        <v>17</v>
      </c>
      <c r="F162" t="s">
        <v>11</v>
      </c>
      <c r="G162" t="s">
        <v>15</v>
      </c>
      <c r="H162" t="str">
        <f t="shared" si="10"/>
        <v>High</v>
      </c>
      <c r="I162">
        <v>890</v>
      </c>
      <c r="J162">
        <v>303.74</v>
      </c>
      <c r="K162" s="3">
        <f t="shared" si="11"/>
        <v>0.3412808988764045</v>
      </c>
      <c r="L162">
        <v>10</v>
      </c>
      <c r="M162" t="s">
        <v>22</v>
      </c>
    </row>
    <row r="163" spans="1:13" x14ac:dyDescent="0.25">
      <c r="A163">
        <v>1162</v>
      </c>
      <c r="B163">
        <f t="shared" si="8"/>
        <v>2023</v>
      </c>
      <c r="C163" t="str">
        <f t="shared" si="9"/>
        <v>December</v>
      </c>
      <c r="D163" t="s">
        <v>156</v>
      </c>
      <c r="E163" t="s">
        <v>17</v>
      </c>
      <c r="F163" t="s">
        <v>11</v>
      </c>
      <c r="G163" t="s">
        <v>84</v>
      </c>
      <c r="H163" t="str">
        <f t="shared" si="10"/>
        <v>Medium</v>
      </c>
      <c r="I163">
        <v>212</v>
      </c>
      <c r="J163">
        <v>53.79</v>
      </c>
      <c r="K163" s="3">
        <f t="shared" si="11"/>
        <v>0.25372641509433963</v>
      </c>
      <c r="L163">
        <v>2</v>
      </c>
      <c r="M163" t="s">
        <v>13</v>
      </c>
    </row>
    <row r="164" spans="1:13" x14ac:dyDescent="0.25">
      <c r="A164">
        <v>1163</v>
      </c>
      <c r="B164">
        <f t="shared" si="8"/>
        <v>2023</v>
      </c>
      <c r="C164" t="str">
        <f t="shared" si="9"/>
        <v>December</v>
      </c>
      <c r="D164" t="s">
        <v>31</v>
      </c>
      <c r="E164" t="s">
        <v>10</v>
      </c>
      <c r="F164" t="s">
        <v>27</v>
      </c>
      <c r="G164" t="s">
        <v>36</v>
      </c>
      <c r="H164" t="str">
        <f t="shared" si="10"/>
        <v>High</v>
      </c>
      <c r="I164">
        <v>3640</v>
      </c>
      <c r="J164">
        <v>647.55999999999995</v>
      </c>
      <c r="K164" s="3">
        <f t="shared" si="11"/>
        <v>0.1779010989010989</v>
      </c>
      <c r="L164">
        <v>7</v>
      </c>
      <c r="M164" t="s">
        <v>13</v>
      </c>
    </row>
    <row r="165" spans="1:13" x14ac:dyDescent="0.25">
      <c r="A165">
        <v>1164</v>
      </c>
      <c r="B165">
        <f t="shared" si="8"/>
        <v>2023</v>
      </c>
      <c r="C165" t="str">
        <f t="shared" si="9"/>
        <v>April</v>
      </c>
      <c r="D165" t="s">
        <v>157</v>
      </c>
      <c r="E165" t="s">
        <v>24</v>
      </c>
      <c r="F165" t="s">
        <v>20</v>
      </c>
      <c r="G165" t="s">
        <v>21</v>
      </c>
      <c r="H165" t="str">
        <f t="shared" si="10"/>
        <v>High</v>
      </c>
      <c r="I165">
        <v>1444</v>
      </c>
      <c r="J165">
        <v>230.84</v>
      </c>
      <c r="K165" s="3">
        <f t="shared" si="11"/>
        <v>0.15986149584487536</v>
      </c>
      <c r="L165">
        <v>4</v>
      </c>
      <c r="M165" t="s">
        <v>22</v>
      </c>
    </row>
    <row r="166" spans="1:13" x14ac:dyDescent="0.25">
      <c r="A166">
        <v>1165</v>
      </c>
      <c r="B166">
        <f t="shared" si="8"/>
        <v>2023</v>
      </c>
      <c r="C166" t="str">
        <f t="shared" si="9"/>
        <v>June</v>
      </c>
      <c r="D166" t="s">
        <v>91</v>
      </c>
      <c r="E166" t="s">
        <v>10</v>
      </c>
      <c r="F166" t="s">
        <v>20</v>
      </c>
      <c r="G166" t="s">
        <v>39</v>
      </c>
      <c r="H166" t="str">
        <f t="shared" si="10"/>
        <v>High</v>
      </c>
      <c r="I166">
        <v>3480</v>
      </c>
      <c r="J166">
        <v>423.34</v>
      </c>
      <c r="K166" s="3">
        <f t="shared" si="11"/>
        <v>0.12164942528735631</v>
      </c>
      <c r="L166">
        <v>10</v>
      </c>
      <c r="M166" t="s">
        <v>13</v>
      </c>
    </row>
    <row r="167" spans="1:13" x14ac:dyDescent="0.25">
      <c r="A167">
        <v>1166</v>
      </c>
      <c r="B167">
        <f t="shared" si="8"/>
        <v>2023</v>
      </c>
      <c r="C167" t="str">
        <f t="shared" si="9"/>
        <v>August</v>
      </c>
      <c r="D167" t="s">
        <v>158</v>
      </c>
      <c r="E167" t="s">
        <v>17</v>
      </c>
      <c r="F167" t="s">
        <v>20</v>
      </c>
      <c r="G167" t="s">
        <v>39</v>
      </c>
      <c r="H167" t="str">
        <f t="shared" si="10"/>
        <v>High</v>
      </c>
      <c r="I167">
        <v>921</v>
      </c>
      <c r="J167">
        <v>252.62</v>
      </c>
      <c r="K167" s="3">
        <f t="shared" si="11"/>
        <v>0.27428881650380021</v>
      </c>
      <c r="L167">
        <v>1</v>
      </c>
      <c r="M167" t="s">
        <v>13</v>
      </c>
    </row>
    <row r="168" spans="1:13" x14ac:dyDescent="0.25">
      <c r="A168">
        <v>1167</v>
      </c>
      <c r="B168">
        <f t="shared" si="8"/>
        <v>2023</v>
      </c>
      <c r="C168" t="str">
        <f t="shared" si="9"/>
        <v>October</v>
      </c>
      <c r="D168" t="s">
        <v>159</v>
      </c>
      <c r="E168" t="s">
        <v>19</v>
      </c>
      <c r="F168" t="s">
        <v>27</v>
      </c>
      <c r="G168" t="s">
        <v>73</v>
      </c>
      <c r="H168" t="str">
        <f t="shared" si="10"/>
        <v>High</v>
      </c>
      <c r="I168">
        <v>2520</v>
      </c>
      <c r="J168">
        <v>451.88</v>
      </c>
      <c r="K168" s="3">
        <f t="shared" si="11"/>
        <v>0.17931746031746032</v>
      </c>
      <c r="L168">
        <v>4</v>
      </c>
      <c r="M168" t="s">
        <v>30</v>
      </c>
    </row>
    <row r="169" spans="1:13" x14ac:dyDescent="0.25">
      <c r="A169">
        <v>1168</v>
      </c>
      <c r="B169">
        <f t="shared" si="8"/>
        <v>2023</v>
      </c>
      <c r="C169" t="str">
        <f t="shared" si="9"/>
        <v>July</v>
      </c>
      <c r="D169" t="s">
        <v>160</v>
      </c>
      <c r="E169" t="s">
        <v>19</v>
      </c>
      <c r="F169" t="s">
        <v>11</v>
      </c>
      <c r="G169" t="s">
        <v>84</v>
      </c>
      <c r="H169" t="str">
        <f t="shared" si="10"/>
        <v>Medium</v>
      </c>
      <c r="I169">
        <v>459</v>
      </c>
      <c r="J169">
        <v>137.96</v>
      </c>
      <c r="K169" s="3">
        <f t="shared" si="11"/>
        <v>0.30056644880174294</v>
      </c>
      <c r="L169">
        <v>9</v>
      </c>
      <c r="M169" t="s">
        <v>22</v>
      </c>
    </row>
    <row r="170" spans="1:13" x14ac:dyDescent="0.25">
      <c r="A170">
        <v>1169</v>
      </c>
      <c r="B170">
        <f t="shared" si="8"/>
        <v>2023</v>
      </c>
      <c r="C170" t="str">
        <f t="shared" si="9"/>
        <v>November</v>
      </c>
      <c r="D170" t="s">
        <v>161</v>
      </c>
      <c r="E170" t="s">
        <v>24</v>
      </c>
      <c r="F170" t="s">
        <v>11</v>
      </c>
      <c r="G170" t="s">
        <v>33</v>
      </c>
      <c r="H170" t="str">
        <f t="shared" si="10"/>
        <v>Medium</v>
      </c>
      <c r="I170">
        <v>288</v>
      </c>
      <c r="J170">
        <v>78.36</v>
      </c>
      <c r="K170" s="3">
        <f t="shared" si="11"/>
        <v>0.27208333333333334</v>
      </c>
      <c r="L170">
        <v>8</v>
      </c>
      <c r="M170" t="s">
        <v>30</v>
      </c>
    </row>
    <row r="171" spans="1:13" x14ac:dyDescent="0.25">
      <c r="A171">
        <v>1170</v>
      </c>
      <c r="B171">
        <f t="shared" si="8"/>
        <v>2023</v>
      </c>
      <c r="C171" t="str">
        <f t="shared" si="9"/>
        <v>March</v>
      </c>
      <c r="D171" t="s">
        <v>162</v>
      </c>
      <c r="E171" t="s">
        <v>24</v>
      </c>
      <c r="F171" t="s">
        <v>11</v>
      </c>
      <c r="G171" t="s">
        <v>12</v>
      </c>
      <c r="H171" t="str">
        <f t="shared" si="10"/>
        <v>Medium</v>
      </c>
      <c r="I171">
        <v>235</v>
      </c>
      <c r="J171">
        <v>71.53</v>
      </c>
      <c r="K171" s="3">
        <f t="shared" si="11"/>
        <v>0.30438297872340425</v>
      </c>
      <c r="L171">
        <v>5</v>
      </c>
      <c r="M171" t="s">
        <v>30</v>
      </c>
    </row>
    <row r="172" spans="1:13" x14ac:dyDescent="0.25">
      <c r="A172">
        <v>1171</v>
      </c>
      <c r="B172">
        <f t="shared" si="8"/>
        <v>2023</v>
      </c>
      <c r="C172" t="str">
        <f t="shared" si="9"/>
        <v>January</v>
      </c>
      <c r="D172" t="s">
        <v>163</v>
      </c>
      <c r="E172" t="s">
        <v>19</v>
      </c>
      <c r="F172" t="s">
        <v>20</v>
      </c>
      <c r="G172" t="s">
        <v>21</v>
      </c>
      <c r="H172" t="str">
        <f t="shared" si="10"/>
        <v>High</v>
      </c>
      <c r="I172">
        <v>1323</v>
      </c>
      <c r="J172">
        <v>239.42</v>
      </c>
      <c r="K172" s="3">
        <f t="shared" si="11"/>
        <v>0.18096749811035526</v>
      </c>
      <c r="L172">
        <v>7</v>
      </c>
      <c r="M172" t="s">
        <v>22</v>
      </c>
    </row>
    <row r="173" spans="1:13" x14ac:dyDescent="0.25">
      <c r="A173">
        <v>1172</v>
      </c>
      <c r="B173">
        <f t="shared" si="8"/>
        <v>2023</v>
      </c>
      <c r="C173" t="str">
        <f t="shared" si="9"/>
        <v>January</v>
      </c>
      <c r="D173" t="s">
        <v>100</v>
      </c>
      <c r="E173" t="s">
        <v>24</v>
      </c>
      <c r="F173" t="s">
        <v>27</v>
      </c>
      <c r="G173" t="s">
        <v>28</v>
      </c>
      <c r="H173" t="str">
        <f t="shared" si="10"/>
        <v>High</v>
      </c>
      <c r="I173">
        <v>5286</v>
      </c>
      <c r="J173">
        <v>901.41</v>
      </c>
      <c r="K173" s="3">
        <f t="shared" si="11"/>
        <v>0.170527809307605</v>
      </c>
      <c r="L173">
        <v>6</v>
      </c>
      <c r="M173" t="s">
        <v>30</v>
      </c>
    </row>
    <row r="174" spans="1:13" x14ac:dyDescent="0.25">
      <c r="A174">
        <v>1173</v>
      </c>
      <c r="B174">
        <f t="shared" si="8"/>
        <v>2023</v>
      </c>
      <c r="C174" t="str">
        <f t="shared" si="9"/>
        <v>August</v>
      </c>
      <c r="D174" t="s">
        <v>120</v>
      </c>
      <c r="E174" t="s">
        <v>10</v>
      </c>
      <c r="F174" t="s">
        <v>20</v>
      </c>
      <c r="G174" t="s">
        <v>21</v>
      </c>
      <c r="H174" t="str">
        <f t="shared" si="10"/>
        <v>High</v>
      </c>
      <c r="I174">
        <v>3120</v>
      </c>
      <c r="J174">
        <v>254.02</v>
      </c>
      <c r="K174" s="3">
        <f t="shared" si="11"/>
        <v>8.1416666666666665E-2</v>
      </c>
      <c r="L174">
        <v>3</v>
      </c>
      <c r="M174" t="s">
        <v>22</v>
      </c>
    </row>
    <row r="175" spans="1:13" x14ac:dyDescent="0.25">
      <c r="A175">
        <v>1174</v>
      </c>
      <c r="B175">
        <f t="shared" si="8"/>
        <v>2023</v>
      </c>
      <c r="C175" t="str">
        <f t="shared" si="9"/>
        <v>March</v>
      </c>
      <c r="D175" t="s">
        <v>164</v>
      </c>
      <c r="E175" t="s">
        <v>24</v>
      </c>
      <c r="F175" t="s">
        <v>20</v>
      </c>
      <c r="G175" t="s">
        <v>42</v>
      </c>
      <c r="H175" t="str">
        <f t="shared" si="10"/>
        <v>High</v>
      </c>
      <c r="I175">
        <v>10440</v>
      </c>
      <c r="J175">
        <v>3023.08</v>
      </c>
      <c r="K175" s="3">
        <f t="shared" si="11"/>
        <v>0.28956704980842912</v>
      </c>
      <c r="L175">
        <v>9</v>
      </c>
      <c r="M175" t="s">
        <v>30</v>
      </c>
    </row>
    <row r="176" spans="1:13" x14ac:dyDescent="0.25">
      <c r="A176">
        <v>1175</v>
      </c>
      <c r="B176">
        <f t="shared" si="8"/>
        <v>2023</v>
      </c>
      <c r="C176" t="str">
        <f t="shared" si="9"/>
        <v>May</v>
      </c>
      <c r="D176" t="s">
        <v>165</v>
      </c>
      <c r="E176" t="s">
        <v>10</v>
      </c>
      <c r="F176" t="s">
        <v>20</v>
      </c>
      <c r="G176" t="s">
        <v>25</v>
      </c>
      <c r="H176" t="str">
        <f t="shared" si="10"/>
        <v>High</v>
      </c>
      <c r="I176">
        <v>7112</v>
      </c>
      <c r="J176">
        <v>2175.6</v>
      </c>
      <c r="K176" s="3">
        <f t="shared" si="11"/>
        <v>0.3059055118110236</v>
      </c>
      <c r="L176">
        <v>7</v>
      </c>
      <c r="M176" t="s">
        <v>30</v>
      </c>
    </row>
    <row r="177" spans="1:13" x14ac:dyDescent="0.25">
      <c r="A177">
        <v>1176</v>
      </c>
      <c r="B177">
        <f t="shared" si="8"/>
        <v>2023</v>
      </c>
      <c r="C177" t="str">
        <f t="shared" si="9"/>
        <v>March</v>
      </c>
      <c r="D177" t="s">
        <v>124</v>
      </c>
      <c r="E177" t="s">
        <v>17</v>
      </c>
      <c r="F177" t="s">
        <v>27</v>
      </c>
      <c r="G177" t="s">
        <v>28</v>
      </c>
      <c r="H177" t="str">
        <f t="shared" si="10"/>
        <v>High</v>
      </c>
      <c r="I177">
        <v>755</v>
      </c>
      <c r="J177">
        <v>132.32</v>
      </c>
      <c r="K177" s="3">
        <f t="shared" si="11"/>
        <v>0.17525827814569536</v>
      </c>
      <c r="L177">
        <v>5</v>
      </c>
      <c r="M177" t="s">
        <v>13</v>
      </c>
    </row>
    <row r="178" spans="1:13" x14ac:dyDescent="0.25">
      <c r="A178">
        <v>1177</v>
      </c>
      <c r="B178">
        <f t="shared" si="8"/>
        <v>2023</v>
      </c>
      <c r="C178" t="str">
        <f t="shared" si="9"/>
        <v>December</v>
      </c>
      <c r="D178" t="s">
        <v>166</v>
      </c>
      <c r="E178" t="s">
        <v>17</v>
      </c>
      <c r="F178" t="s">
        <v>11</v>
      </c>
      <c r="G178" t="s">
        <v>84</v>
      </c>
      <c r="H178" t="str">
        <f t="shared" si="10"/>
        <v>Low</v>
      </c>
      <c r="I178">
        <v>54</v>
      </c>
      <c r="J178">
        <v>18.22</v>
      </c>
      <c r="K178" s="3">
        <f t="shared" si="11"/>
        <v>0.33740740740740738</v>
      </c>
      <c r="L178">
        <v>2</v>
      </c>
      <c r="M178" t="s">
        <v>13</v>
      </c>
    </row>
    <row r="179" spans="1:13" x14ac:dyDescent="0.25">
      <c r="A179">
        <v>1178</v>
      </c>
      <c r="B179">
        <f t="shared" si="8"/>
        <v>2023</v>
      </c>
      <c r="C179" t="str">
        <f t="shared" si="9"/>
        <v>August</v>
      </c>
      <c r="D179" t="s">
        <v>167</v>
      </c>
      <c r="E179" t="s">
        <v>10</v>
      </c>
      <c r="F179" t="s">
        <v>11</v>
      </c>
      <c r="G179" t="s">
        <v>15</v>
      </c>
      <c r="H179" t="str">
        <f t="shared" si="10"/>
        <v>Low</v>
      </c>
      <c r="I179">
        <v>74</v>
      </c>
      <c r="J179">
        <v>20.85</v>
      </c>
      <c r="K179" s="3">
        <f t="shared" si="11"/>
        <v>0.28175675675675677</v>
      </c>
      <c r="L179">
        <v>1</v>
      </c>
      <c r="M179" t="s">
        <v>22</v>
      </c>
    </row>
    <row r="180" spans="1:13" x14ac:dyDescent="0.25">
      <c r="A180">
        <v>1179</v>
      </c>
      <c r="B180">
        <f t="shared" si="8"/>
        <v>2023</v>
      </c>
      <c r="C180" t="str">
        <f t="shared" si="9"/>
        <v>December</v>
      </c>
      <c r="D180" t="s">
        <v>168</v>
      </c>
      <c r="E180" t="s">
        <v>24</v>
      </c>
      <c r="F180" t="s">
        <v>27</v>
      </c>
      <c r="G180" t="s">
        <v>28</v>
      </c>
      <c r="H180" t="str">
        <f t="shared" si="10"/>
        <v>Medium</v>
      </c>
      <c r="I180">
        <v>572</v>
      </c>
      <c r="J180">
        <v>100.17</v>
      </c>
      <c r="K180" s="3">
        <f t="shared" si="11"/>
        <v>0.17512237762237762</v>
      </c>
      <c r="L180">
        <v>2</v>
      </c>
      <c r="M180" t="s">
        <v>30</v>
      </c>
    </row>
    <row r="181" spans="1:13" x14ac:dyDescent="0.25">
      <c r="A181">
        <v>1180</v>
      </c>
      <c r="B181">
        <f t="shared" si="8"/>
        <v>2023</v>
      </c>
      <c r="C181" t="str">
        <f t="shared" si="9"/>
        <v>September</v>
      </c>
      <c r="D181" t="s">
        <v>169</v>
      </c>
      <c r="E181" t="s">
        <v>19</v>
      </c>
      <c r="F181" t="s">
        <v>27</v>
      </c>
      <c r="G181" t="s">
        <v>36</v>
      </c>
      <c r="H181" t="str">
        <f t="shared" si="10"/>
        <v>High</v>
      </c>
      <c r="I181">
        <v>642</v>
      </c>
      <c r="J181">
        <v>185.9</v>
      </c>
      <c r="K181" s="3">
        <f t="shared" si="11"/>
        <v>0.2895638629283489</v>
      </c>
      <c r="L181">
        <v>3</v>
      </c>
      <c r="M181" t="s">
        <v>13</v>
      </c>
    </row>
    <row r="182" spans="1:13" x14ac:dyDescent="0.25">
      <c r="A182">
        <v>1181</v>
      </c>
      <c r="B182">
        <f t="shared" si="8"/>
        <v>2023</v>
      </c>
      <c r="C182" t="str">
        <f t="shared" si="9"/>
        <v>January</v>
      </c>
      <c r="D182" t="s">
        <v>170</v>
      </c>
      <c r="E182" t="s">
        <v>24</v>
      </c>
      <c r="F182" t="s">
        <v>27</v>
      </c>
      <c r="G182" t="s">
        <v>28</v>
      </c>
      <c r="H182" t="str">
        <f t="shared" si="10"/>
        <v>High</v>
      </c>
      <c r="I182">
        <v>1892</v>
      </c>
      <c r="J182">
        <v>414.64</v>
      </c>
      <c r="K182" s="3">
        <f t="shared" si="11"/>
        <v>0.21915433403805495</v>
      </c>
      <c r="L182">
        <v>4</v>
      </c>
      <c r="M182" t="s">
        <v>30</v>
      </c>
    </row>
    <row r="183" spans="1:13" x14ac:dyDescent="0.25">
      <c r="A183">
        <v>1182</v>
      </c>
      <c r="B183">
        <f t="shared" si="8"/>
        <v>2023</v>
      </c>
      <c r="C183" t="str">
        <f t="shared" si="9"/>
        <v>November</v>
      </c>
      <c r="D183" t="s">
        <v>171</v>
      </c>
      <c r="E183" t="s">
        <v>24</v>
      </c>
      <c r="F183" t="s">
        <v>11</v>
      </c>
      <c r="G183" t="s">
        <v>84</v>
      </c>
      <c r="H183" t="str">
        <f t="shared" si="10"/>
        <v>Low</v>
      </c>
      <c r="I183">
        <v>88</v>
      </c>
      <c r="J183">
        <v>27.61</v>
      </c>
      <c r="K183" s="3">
        <f t="shared" si="11"/>
        <v>0.31374999999999997</v>
      </c>
      <c r="L183">
        <v>4</v>
      </c>
      <c r="M183" t="s">
        <v>30</v>
      </c>
    </row>
    <row r="184" spans="1:13" x14ac:dyDescent="0.25">
      <c r="A184">
        <v>1183</v>
      </c>
      <c r="B184">
        <f t="shared" si="8"/>
        <v>2023</v>
      </c>
      <c r="C184" t="str">
        <f t="shared" si="9"/>
        <v>August</v>
      </c>
      <c r="D184" t="s">
        <v>172</v>
      </c>
      <c r="E184" t="s">
        <v>10</v>
      </c>
      <c r="F184" t="s">
        <v>27</v>
      </c>
      <c r="G184" t="s">
        <v>73</v>
      </c>
      <c r="H184" t="str">
        <f t="shared" si="10"/>
        <v>High</v>
      </c>
      <c r="I184">
        <v>3815</v>
      </c>
      <c r="J184">
        <v>1308.18</v>
      </c>
      <c r="K184" s="3">
        <f t="shared" si="11"/>
        <v>0.34290432503276541</v>
      </c>
      <c r="L184">
        <v>7</v>
      </c>
      <c r="M184" t="s">
        <v>22</v>
      </c>
    </row>
    <row r="185" spans="1:13" x14ac:dyDescent="0.25">
      <c r="A185">
        <v>1184</v>
      </c>
      <c r="B185">
        <f t="shared" si="8"/>
        <v>2023</v>
      </c>
      <c r="C185" t="str">
        <f t="shared" si="9"/>
        <v>May</v>
      </c>
      <c r="D185" t="s">
        <v>118</v>
      </c>
      <c r="E185" t="s">
        <v>24</v>
      </c>
      <c r="F185" t="s">
        <v>27</v>
      </c>
      <c r="G185" t="s">
        <v>95</v>
      </c>
      <c r="H185" t="str">
        <f t="shared" si="10"/>
        <v>Medium</v>
      </c>
      <c r="I185">
        <v>460</v>
      </c>
      <c r="J185">
        <v>111.62</v>
      </c>
      <c r="K185" s="3">
        <f t="shared" si="11"/>
        <v>0.2426521739130435</v>
      </c>
      <c r="L185">
        <v>2</v>
      </c>
      <c r="M185" t="s">
        <v>13</v>
      </c>
    </row>
    <row r="186" spans="1:13" x14ac:dyDescent="0.25">
      <c r="A186">
        <v>1185</v>
      </c>
      <c r="B186">
        <f t="shared" si="8"/>
        <v>2023</v>
      </c>
      <c r="C186" t="str">
        <f t="shared" si="9"/>
        <v>February</v>
      </c>
      <c r="D186" t="s">
        <v>173</v>
      </c>
      <c r="E186" t="s">
        <v>24</v>
      </c>
      <c r="F186" t="s">
        <v>20</v>
      </c>
      <c r="G186" t="s">
        <v>39</v>
      </c>
      <c r="H186" t="str">
        <f t="shared" si="10"/>
        <v>High</v>
      </c>
      <c r="I186">
        <v>1502</v>
      </c>
      <c r="J186">
        <v>244.46</v>
      </c>
      <c r="K186" s="3">
        <f t="shared" si="11"/>
        <v>0.16275632490013317</v>
      </c>
      <c r="L186">
        <v>2</v>
      </c>
      <c r="M186" t="s">
        <v>22</v>
      </c>
    </row>
    <row r="187" spans="1:13" x14ac:dyDescent="0.25">
      <c r="A187">
        <v>1186</v>
      </c>
      <c r="B187">
        <f t="shared" si="8"/>
        <v>2023</v>
      </c>
      <c r="C187" t="str">
        <f t="shared" si="9"/>
        <v>August</v>
      </c>
      <c r="D187" t="s">
        <v>137</v>
      </c>
      <c r="E187" t="s">
        <v>17</v>
      </c>
      <c r="F187" t="s">
        <v>11</v>
      </c>
      <c r="G187" t="s">
        <v>84</v>
      </c>
      <c r="H187" t="str">
        <f t="shared" si="10"/>
        <v>High</v>
      </c>
      <c r="I187">
        <v>1176</v>
      </c>
      <c r="J187">
        <v>370.33</v>
      </c>
      <c r="K187" s="3">
        <f t="shared" si="11"/>
        <v>0.31490646258503402</v>
      </c>
      <c r="L187">
        <v>6</v>
      </c>
      <c r="M187" t="s">
        <v>13</v>
      </c>
    </row>
    <row r="188" spans="1:13" x14ac:dyDescent="0.25">
      <c r="A188">
        <v>1187</v>
      </c>
      <c r="B188">
        <f t="shared" si="8"/>
        <v>2023</v>
      </c>
      <c r="C188" t="str">
        <f t="shared" si="9"/>
        <v>January</v>
      </c>
      <c r="D188" t="s">
        <v>174</v>
      </c>
      <c r="E188" t="s">
        <v>24</v>
      </c>
      <c r="F188" t="s">
        <v>27</v>
      </c>
      <c r="G188" t="s">
        <v>95</v>
      </c>
      <c r="H188" t="str">
        <f t="shared" si="10"/>
        <v>High</v>
      </c>
      <c r="I188">
        <v>1044</v>
      </c>
      <c r="J188">
        <v>309.33</v>
      </c>
      <c r="K188" s="3">
        <f t="shared" si="11"/>
        <v>0.29629310344827586</v>
      </c>
      <c r="L188">
        <v>2</v>
      </c>
      <c r="M188" t="s">
        <v>13</v>
      </c>
    </row>
    <row r="189" spans="1:13" x14ac:dyDescent="0.25">
      <c r="A189">
        <v>1188</v>
      </c>
      <c r="B189">
        <f t="shared" si="8"/>
        <v>2023</v>
      </c>
      <c r="C189" t="str">
        <f t="shared" si="9"/>
        <v>November</v>
      </c>
      <c r="D189" t="s">
        <v>119</v>
      </c>
      <c r="E189" t="s">
        <v>10</v>
      </c>
      <c r="F189" t="s">
        <v>11</v>
      </c>
      <c r="G189" t="s">
        <v>33</v>
      </c>
      <c r="H189" t="str">
        <f t="shared" si="10"/>
        <v>Medium</v>
      </c>
      <c r="I189">
        <v>216</v>
      </c>
      <c r="J189">
        <v>31.04</v>
      </c>
      <c r="K189" s="3">
        <f t="shared" si="11"/>
        <v>0.14370370370370369</v>
      </c>
      <c r="L189">
        <v>8</v>
      </c>
      <c r="M189" t="s">
        <v>30</v>
      </c>
    </row>
    <row r="190" spans="1:13" x14ac:dyDescent="0.25">
      <c r="A190">
        <v>1189</v>
      </c>
      <c r="B190">
        <f t="shared" si="8"/>
        <v>2023</v>
      </c>
      <c r="C190" t="str">
        <f t="shared" si="9"/>
        <v>October</v>
      </c>
      <c r="D190" t="s">
        <v>46</v>
      </c>
      <c r="E190" t="s">
        <v>24</v>
      </c>
      <c r="F190" t="s">
        <v>11</v>
      </c>
      <c r="G190" t="s">
        <v>44</v>
      </c>
      <c r="H190" t="str">
        <f t="shared" si="10"/>
        <v>Low</v>
      </c>
      <c r="I190">
        <v>125</v>
      </c>
      <c r="J190">
        <v>42.02</v>
      </c>
      <c r="K190" s="3">
        <f t="shared" si="11"/>
        <v>0.33616000000000001</v>
      </c>
      <c r="L190">
        <v>1</v>
      </c>
      <c r="M190" t="s">
        <v>22</v>
      </c>
    </row>
    <row r="191" spans="1:13" x14ac:dyDescent="0.25">
      <c r="A191">
        <v>1190</v>
      </c>
      <c r="B191">
        <f t="shared" si="8"/>
        <v>2023</v>
      </c>
      <c r="C191" t="str">
        <f t="shared" si="9"/>
        <v>March</v>
      </c>
      <c r="D191" t="s">
        <v>175</v>
      </c>
      <c r="E191" t="s">
        <v>10</v>
      </c>
      <c r="F191" t="s">
        <v>27</v>
      </c>
      <c r="G191" t="s">
        <v>95</v>
      </c>
      <c r="H191" t="str">
        <f t="shared" si="10"/>
        <v>High</v>
      </c>
      <c r="I191">
        <v>5013</v>
      </c>
      <c r="J191">
        <v>1280.23</v>
      </c>
      <c r="K191" s="3">
        <f t="shared" si="11"/>
        <v>0.25538200678236583</v>
      </c>
      <c r="L191">
        <v>9</v>
      </c>
      <c r="M191" t="s">
        <v>13</v>
      </c>
    </row>
    <row r="192" spans="1:13" x14ac:dyDescent="0.25">
      <c r="A192">
        <v>1191</v>
      </c>
      <c r="B192">
        <f t="shared" si="8"/>
        <v>2023</v>
      </c>
      <c r="C192" t="str">
        <f t="shared" si="9"/>
        <v>April</v>
      </c>
      <c r="D192" t="s">
        <v>176</v>
      </c>
      <c r="E192" t="s">
        <v>10</v>
      </c>
      <c r="F192" t="s">
        <v>20</v>
      </c>
      <c r="G192" t="s">
        <v>42</v>
      </c>
      <c r="H192" t="str">
        <f t="shared" si="10"/>
        <v>High</v>
      </c>
      <c r="I192">
        <v>9120</v>
      </c>
      <c r="J192">
        <v>1019.57</v>
      </c>
      <c r="K192" s="3">
        <f t="shared" si="11"/>
        <v>0.11179495614035088</v>
      </c>
      <c r="L192">
        <v>8</v>
      </c>
      <c r="M192" t="s">
        <v>13</v>
      </c>
    </row>
    <row r="193" spans="1:13" x14ac:dyDescent="0.25">
      <c r="A193">
        <v>1192</v>
      </c>
      <c r="B193">
        <f t="shared" si="8"/>
        <v>2023</v>
      </c>
      <c r="C193" t="str">
        <f t="shared" si="9"/>
        <v>May</v>
      </c>
      <c r="D193" t="s">
        <v>177</v>
      </c>
      <c r="E193" t="s">
        <v>17</v>
      </c>
      <c r="F193" t="s">
        <v>27</v>
      </c>
      <c r="G193" t="s">
        <v>95</v>
      </c>
      <c r="H193" t="str">
        <f t="shared" si="10"/>
        <v>High</v>
      </c>
      <c r="I193">
        <v>2200</v>
      </c>
      <c r="J193">
        <v>682.58</v>
      </c>
      <c r="K193" s="3">
        <f t="shared" si="11"/>
        <v>0.31026363636363641</v>
      </c>
      <c r="L193">
        <v>8</v>
      </c>
      <c r="M193" t="s">
        <v>13</v>
      </c>
    </row>
    <row r="194" spans="1:13" x14ac:dyDescent="0.25">
      <c r="A194">
        <v>1193</v>
      </c>
      <c r="B194">
        <f t="shared" ref="B194:B257" si="12">YEAR(D194)</f>
        <v>2023</v>
      </c>
      <c r="C194" t="str">
        <f t="shared" ref="C194:C257" si="13">TEXT(D194,"mmmm")</f>
        <v>December</v>
      </c>
      <c r="D194" t="s">
        <v>69</v>
      </c>
      <c r="E194" t="s">
        <v>19</v>
      </c>
      <c r="F194" t="s">
        <v>27</v>
      </c>
      <c r="G194" t="s">
        <v>36</v>
      </c>
      <c r="H194" t="str">
        <f t="shared" ref="H194:H257" si="14">IF(I194&lt;=200,"Low",IF(I194&lt;=600,"Medium","High"))</f>
        <v>High</v>
      </c>
      <c r="I194">
        <v>5256</v>
      </c>
      <c r="J194">
        <v>1200.99</v>
      </c>
      <c r="K194" s="3">
        <f t="shared" ref="K194:K257" si="15">J194/I194</f>
        <v>0.22849885844748857</v>
      </c>
      <c r="L194">
        <v>6</v>
      </c>
      <c r="M194" t="s">
        <v>30</v>
      </c>
    </row>
    <row r="195" spans="1:13" x14ac:dyDescent="0.25">
      <c r="A195">
        <v>1194</v>
      </c>
      <c r="B195">
        <f t="shared" si="12"/>
        <v>2023</v>
      </c>
      <c r="C195" t="str">
        <f t="shared" si="13"/>
        <v>December</v>
      </c>
      <c r="D195" t="s">
        <v>178</v>
      </c>
      <c r="E195" t="s">
        <v>17</v>
      </c>
      <c r="F195" t="s">
        <v>27</v>
      </c>
      <c r="G195" t="s">
        <v>73</v>
      </c>
      <c r="H195" t="str">
        <f t="shared" si="14"/>
        <v>High</v>
      </c>
      <c r="I195">
        <v>2010</v>
      </c>
      <c r="J195">
        <v>226.66</v>
      </c>
      <c r="K195" s="3">
        <f t="shared" si="15"/>
        <v>0.11276616915422885</v>
      </c>
      <c r="L195">
        <v>3</v>
      </c>
      <c r="M195" t="s">
        <v>13</v>
      </c>
    </row>
    <row r="196" spans="1:13" x14ac:dyDescent="0.25">
      <c r="A196">
        <v>1195</v>
      </c>
      <c r="B196">
        <f t="shared" si="12"/>
        <v>2023</v>
      </c>
      <c r="C196" t="str">
        <f t="shared" si="13"/>
        <v>January</v>
      </c>
      <c r="D196" t="s">
        <v>163</v>
      </c>
      <c r="E196" t="s">
        <v>17</v>
      </c>
      <c r="F196" t="s">
        <v>20</v>
      </c>
      <c r="G196" t="s">
        <v>21</v>
      </c>
      <c r="H196" t="str">
        <f t="shared" si="14"/>
        <v>High</v>
      </c>
      <c r="I196">
        <v>5010</v>
      </c>
      <c r="J196">
        <v>576.34</v>
      </c>
      <c r="K196" s="3">
        <f t="shared" si="15"/>
        <v>0.11503792415169661</v>
      </c>
      <c r="L196">
        <v>6</v>
      </c>
      <c r="M196" t="s">
        <v>22</v>
      </c>
    </row>
    <row r="197" spans="1:13" x14ac:dyDescent="0.25">
      <c r="A197">
        <v>1196</v>
      </c>
      <c r="B197">
        <f t="shared" si="12"/>
        <v>2023</v>
      </c>
      <c r="C197" t="str">
        <f t="shared" si="13"/>
        <v>September</v>
      </c>
      <c r="D197" t="s">
        <v>169</v>
      </c>
      <c r="E197" t="s">
        <v>24</v>
      </c>
      <c r="F197" t="s">
        <v>20</v>
      </c>
      <c r="G197" t="s">
        <v>42</v>
      </c>
      <c r="H197" t="str">
        <f t="shared" si="14"/>
        <v>High</v>
      </c>
      <c r="I197">
        <v>8289</v>
      </c>
      <c r="J197">
        <v>828.18</v>
      </c>
      <c r="K197" s="3">
        <f t="shared" si="15"/>
        <v>9.991313789359392E-2</v>
      </c>
      <c r="L197">
        <v>9</v>
      </c>
      <c r="M197" t="s">
        <v>22</v>
      </c>
    </row>
    <row r="198" spans="1:13" x14ac:dyDescent="0.25">
      <c r="A198">
        <v>1197</v>
      </c>
      <c r="B198">
        <f t="shared" si="12"/>
        <v>2023</v>
      </c>
      <c r="C198" t="str">
        <f t="shared" si="13"/>
        <v>December</v>
      </c>
      <c r="D198" t="s">
        <v>179</v>
      </c>
      <c r="E198" t="s">
        <v>19</v>
      </c>
      <c r="F198" t="s">
        <v>27</v>
      </c>
      <c r="G198" t="s">
        <v>28</v>
      </c>
      <c r="H198" t="str">
        <f t="shared" si="14"/>
        <v>High</v>
      </c>
      <c r="I198">
        <v>2529</v>
      </c>
      <c r="J198">
        <v>639.19000000000005</v>
      </c>
      <c r="K198" s="3">
        <f t="shared" si="15"/>
        <v>0.25274416765519969</v>
      </c>
      <c r="L198">
        <v>9</v>
      </c>
      <c r="M198" t="s">
        <v>22</v>
      </c>
    </row>
    <row r="199" spans="1:13" x14ac:dyDescent="0.25">
      <c r="A199">
        <v>1198</v>
      </c>
      <c r="B199">
        <f t="shared" si="12"/>
        <v>2023</v>
      </c>
      <c r="C199" t="str">
        <f t="shared" si="13"/>
        <v>January</v>
      </c>
      <c r="D199" t="s">
        <v>180</v>
      </c>
      <c r="E199" t="s">
        <v>19</v>
      </c>
      <c r="F199" t="s">
        <v>20</v>
      </c>
      <c r="G199" t="s">
        <v>21</v>
      </c>
      <c r="H199" t="str">
        <f t="shared" si="14"/>
        <v>High</v>
      </c>
      <c r="I199">
        <v>2282</v>
      </c>
      <c r="J199">
        <v>284.01</v>
      </c>
      <c r="K199" s="3">
        <f t="shared" si="15"/>
        <v>0.12445661700262926</v>
      </c>
      <c r="L199">
        <v>2</v>
      </c>
      <c r="M199" t="s">
        <v>13</v>
      </c>
    </row>
    <row r="200" spans="1:13" x14ac:dyDescent="0.25">
      <c r="A200">
        <v>1199</v>
      </c>
      <c r="B200">
        <f t="shared" si="12"/>
        <v>2023</v>
      </c>
      <c r="C200" t="str">
        <f t="shared" si="13"/>
        <v>May</v>
      </c>
      <c r="D200" t="s">
        <v>106</v>
      </c>
      <c r="E200" t="s">
        <v>24</v>
      </c>
      <c r="F200" t="s">
        <v>27</v>
      </c>
      <c r="G200" t="s">
        <v>36</v>
      </c>
      <c r="H200" t="str">
        <f t="shared" si="14"/>
        <v>High</v>
      </c>
      <c r="I200">
        <v>702</v>
      </c>
      <c r="J200">
        <v>237.43</v>
      </c>
      <c r="K200" s="3">
        <f t="shared" si="15"/>
        <v>0.33821937321937323</v>
      </c>
      <c r="L200">
        <v>2</v>
      </c>
      <c r="M200" t="s">
        <v>13</v>
      </c>
    </row>
    <row r="201" spans="1:13" x14ac:dyDescent="0.25">
      <c r="A201">
        <v>1200</v>
      </c>
      <c r="B201">
        <f t="shared" si="12"/>
        <v>2023</v>
      </c>
      <c r="C201" t="str">
        <f t="shared" si="13"/>
        <v>October</v>
      </c>
      <c r="D201" t="s">
        <v>159</v>
      </c>
      <c r="E201" t="s">
        <v>24</v>
      </c>
      <c r="F201" t="s">
        <v>27</v>
      </c>
      <c r="G201" t="s">
        <v>36</v>
      </c>
      <c r="H201" t="str">
        <f t="shared" si="14"/>
        <v>High</v>
      </c>
      <c r="I201">
        <v>1612</v>
      </c>
      <c r="J201">
        <v>386.54</v>
      </c>
      <c r="K201" s="3">
        <f t="shared" si="15"/>
        <v>0.2397890818858561</v>
      </c>
      <c r="L201">
        <v>2</v>
      </c>
      <c r="M201" t="s">
        <v>13</v>
      </c>
    </row>
    <row r="202" spans="1:13" x14ac:dyDescent="0.25">
      <c r="A202">
        <v>1201</v>
      </c>
      <c r="B202">
        <f t="shared" si="12"/>
        <v>2023</v>
      </c>
      <c r="C202" t="str">
        <f t="shared" si="13"/>
        <v>November</v>
      </c>
      <c r="D202" t="s">
        <v>181</v>
      </c>
      <c r="E202" t="s">
        <v>17</v>
      </c>
      <c r="F202" t="s">
        <v>11</v>
      </c>
      <c r="G202" t="s">
        <v>33</v>
      </c>
      <c r="H202" t="str">
        <f t="shared" si="14"/>
        <v>Low</v>
      </c>
      <c r="I202">
        <v>200</v>
      </c>
      <c r="J202">
        <v>60.56</v>
      </c>
      <c r="K202" s="3">
        <f t="shared" si="15"/>
        <v>0.30280000000000001</v>
      </c>
      <c r="L202">
        <v>10</v>
      </c>
      <c r="M202" t="s">
        <v>13</v>
      </c>
    </row>
    <row r="203" spans="1:13" x14ac:dyDescent="0.25">
      <c r="A203">
        <v>1202</v>
      </c>
      <c r="B203">
        <f t="shared" si="12"/>
        <v>2023</v>
      </c>
      <c r="C203" t="str">
        <f t="shared" si="13"/>
        <v>October</v>
      </c>
      <c r="D203" t="s">
        <v>182</v>
      </c>
      <c r="E203" t="s">
        <v>10</v>
      </c>
      <c r="F203" t="s">
        <v>20</v>
      </c>
      <c r="G203" t="s">
        <v>42</v>
      </c>
      <c r="H203" t="str">
        <f t="shared" si="14"/>
        <v>High</v>
      </c>
      <c r="I203">
        <v>2555</v>
      </c>
      <c r="J203">
        <v>630.79999999999995</v>
      </c>
      <c r="K203" s="3">
        <f t="shared" si="15"/>
        <v>0.24688845401174167</v>
      </c>
      <c r="L203">
        <v>5</v>
      </c>
      <c r="M203" t="s">
        <v>13</v>
      </c>
    </row>
    <row r="204" spans="1:13" x14ac:dyDescent="0.25">
      <c r="A204">
        <v>1203</v>
      </c>
      <c r="B204">
        <f t="shared" si="12"/>
        <v>2023</v>
      </c>
      <c r="C204" t="str">
        <f t="shared" si="13"/>
        <v>June</v>
      </c>
      <c r="D204" t="s">
        <v>183</v>
      </c>
      <c r="E204" t="s">
        <v>24</v>
      </c>
      <c r="F204" t="s">
        <v>20</v>
      </c>
      <c r="G204" t="s">
        <v>55</v>
      </c>
      <c r="H204" t="str">
        <f t="shared" si="14"/>
        <v>High</v>
      </c>
      <c r="I204">
        <v>4648</v>
      </c>
      <c r="J204">
        <v>745.11</v>
      </c>
      <c r="K204" s="3">
        <f t="shared" si="15"/>
        <v>0.16030765920826162</v>
      </c>
      <c r="L204">
        <v>8</v>
      </c>
      <c r="M204" t="s">
        <v>13</v>
      </c>
    </row>
    <row r="205" spans="1:13" x14ac:dyDescent="0.25">
      <c r="A205">
        <v>1204</v>
      </c>
      <c r="B205">
        <f t="shared" si="12"/>
        <v>2023</v>
      </c>
      <c r="C205" t="str">
        <f t="shared" si="13"/>
        <v>August</v>
      </c>
      <c r="D205" t="s">
        <v>184</v>
      </c>
      <c r="E205" t="s">
        <v>17</v>
      </c>
      <c r="F205" t="s">
        <v>20</v>
      </c>
      <c r="G205" t="s">
        <v>42</v>
      </c>
      <c r="H205" t="str">
        <f t="shared" si="14"/>
        <v>High</v>
      </c>
      <c r="I205">
        <v>8248</v>
      </c>
      <c r="J205">
        <v>2010.85</v>
      </c>
      <c r="K205" s="3">
        <f t="shared" si="15"/>
        <v>0.24379849660523761</v>
      </c>
      <c r="L205">
        <v>8</v>
      </c>
      <c r="M205" t="s">
        <v>22</v>
      </c>
    </row>
    <row r="206" spans="1:13" x14ac:dyDescent="0.25">
      <c r="A206">
        <v>1205</v>
      </c>
      <c r="B206">
        <f t="shared" si="12"/>
        <v>2023</v>
      </c>
      <c r="C206" t="str">
        <f t="shared" si="13"/>
        <v>March</v>
      </c>
      <c r="D206" t="s">
        <v>185</v>
      </c>
      <c r="E206" t="s">
        <v>24</v>
      </c>
      <c r="F206" t="s">
        <v>27</v>
      </c>
      <c r="G206" t="s">
        <v>73</v>
      </c>
      <c r="H206" t="str">
        <f t="shared" si="14"/>
        <v>High</v>
      </c>
      <c r="I206">
        <v>4350</v>
      </c>
      <c r="J206">
        <v>722.8</v>
      </c>
      <c r="K206" s="3">
        <f t="shared" si="15"/>
        <v>0.16616091954022988</v>
      </c>
      <c r="L206">
        <v>6</v>
      </c>
      <c r="M206" t="s">
        <v>22</v>
      </c>
    </row>
    <row r="207" spans="1:13" x14ac:dyDescent="0.25">
      <c r="A207">
        <v>1206</v>
      </c>
      <c r="B207">
        <f t="shared" si="12"/>
        <v>2023</v>
      </c>
      <c r="C207" t="str">
        <f t="shared" si="13"/>
        <v>May</v>
      </c>
      <c r="D207" t="s">
        <v>186</v>
      </c>
      <c r="E207" t="s">
        <v>24</v>
      </c>
      <c r="F207" t="s">
        <v>27</v>
      </c>
      <c r="G207" t="s">
        <v>28</v>
      </c>
      <c r="H207" t="str">
        <f t="shared" si="14"/>
        <v>High</v>
      </c>
      <c r="I207">
        <v>603</v>
      </c>
      <c r="J207">
        <v>202.16</v>
      </c>
      <c r="K207" s="3">
        <f t="shared" si="15"/>
        <v>0.33525704809286899</v>
      </c>
      <c r="L207">
        <v>3</v>
      </c>
      <c r="M207" t="s">
        <v>22</v>
      </c>
    </row>
    <row r="208" spans="1:13" x14ac:dyDescent="0.25">
      <c r="A208">
        <v>1207</v>
      </c>
      <c r="B208">
        <f t="shared" si="12"/>
        <v>2023</v>
      </c>
      <c r="C208" t="str">
        <f t="shared" si="13"/>
        <v>June</v>
      </c>
      <c r="D208" t="s">
        <v>149</v>
      </c>
      <c r="E208" t="s">
        <v>17</v>
      </c>
      <c r="F208" t="s">
        <v>11</v>
      </c>
      <c r="G208" t="s">
        <v>84</v>
      </c>
      <c r="H208" t="str">
        <f t="shared" si="14"/>
        <v>Medium</v>
      </c>
      <c r="I208">
        <v>500</v>
      </c>
      <c r="J208">
        <v>107.27</v>
      </c>
      <c r="K208" s="3">
        <f t="shared" si="15"/>
        <v>0.21453999999999998</v>
      </c>
      <c r="L208">
        <v>10</v>
      </c>
      <c r="M208" t="s">
        <v>30</v>
      </c>
    </row>
    <row r="209" spans="1:13" x14ac:dyDescent="0.25">
      <c r="A209">
        <v>1208</v>
      </c>
      <c r="B209">
        <f t="shared" si="12"/>
        <v>2023</v>
      </c>
      <c r="C209" t="str">
        <f t="shared" si="13"/>
        <v>September</v>
      </c>
      <c r="D209" t="s">
        <v>187</v>
      </c>
      <c r="E209" t="s">
        <v>19</v>
      </c>
      <c r="F209" t="s">
        <v>11</v>
      </c>
      <c r="G209" t="s">
        <v>84</v>
      </c>
      <c r="H209" t="str">
        <f t="shared" si="14"/>
        <v>Low</v>
      </c>
      <c r="I209">
        <v>139</v>
      </c>
      <c r="J209">
        <v>28.28</v>
      </c>
      <c r="K209" s="3">
        <f t="shared" si="15"/>
        <v>0.20345323741007196</v>
      </c>
      <c r="L209">
        <v>1</v>
      </c>
      <c r="M209" t="s">
        <v>22</v>
      </c>
    </row>
    <row r="210" spans="1:13" x14ac:dyDescent="0.25">
      <c r="A210">
        <v>1209</v>
      </c>
      <c r="B210">
        <f t="shared" si="12"/>
        <v>2023</v>
      </c>
      <c r="C210" t="str">
        <f t="shared" si="13"/>
        <v>January</v>
      </c>
      <c r="D210" t="s">
        <v>188</v>
      </c>
      <c r="E210" t="s">
        <v>24</v>
      </c>
      <c r="F210" t="s">
        <v>20</v>
      </c>
      <c r="G210" t="s">
        <v>21</v>
      </c>
      <c r="H210" t="str">
        <f t="shared" si="14"/>
        <v>High</v>
      </c>
      <c r="I210">
        <v>5465</v>
      </c>
      <c r="J210">
        <v>1429.54</v>
      </c>
      <c r="K210" s="3">
        <f t="shared" si="15"/>
        <v>0.26158096980786827</v>
      </c>
      <c r="L210">
        <v>5</v>
      </c>
      <c r="M210" t="s">
        <v>30</v>
      </c>
    </row>
    <row r="211" spans="1:13" x14ac:dyDescent="0.25">
      <c r="A211">
        <v>1210</v>
      </c>
      <c r="B211">
        <f t="shared" si="12"/>
        <v>2023</v>
      </c>
      <c r="C211" t="str">
        <f t="shared" si="13"/>
        <v>March</v>
      </c>
      <c r="D211" t="s">
        <v>189</v>
      </c>
      <c r="E211" t="s">
        <v>10</v>
      </c>
      <c r="F211" t="s">
        <v>27</v>
      </c>
      <c r="G211" t="s">
        <v>28</v>
      </c>
      <c r="H211" t="str">
        <f t="shared" si="14"/>
        <v>High</v>
      </c>
      <c r="I211">
        <v>2810</v>
      </c>
      <c r="J211">
        <v>259.13</v>
      </c>
      <c r="K211" s="3">
        <f t="shared" si="15"/>
        <v>9.2217081850533802E-2</v>
      </c>
      <c r="L211">
        <v>5</v>
      </c>
      <c r="M211" t="s">
        <v>22</v>
      </c>
    </row>
    <row r="212" spans="1:13" x14ac:dyDescent="0.25">
      <c r="A212">
        <v>1211</v>
      </c>
      <c r="B212">
        <f t="shared" si="12"/>
        <v>2023</v>
      </c>
      <c r="C212" t="str">
        <f t="shared" si="13"/>
        <v>October</v>
      </c>
      <c r="D212" t="s">
        <v>64</v>
      </c>
      <c r="E212" t="s">
        <v>17</v>
      </c>
      <c r="F212" t="s">
        <v>20</v>
      </c>
      <c r="G212" t="s">
        <v>39</v>
      </c>
      <c r="H212" t="str">
        <f t="shared" si="14"/>
        <v>High</v>
      </c>
      <c r="I212">
        <v>1150</v>
      </c>
      <c r="J212">
        <v>231.84</v>
      </c>
      <c r="K212" s="3">
        <f t="shared" si="15"/>
        <v>0.2016</v>
      </c>
      <c r="L212">
        <v>5</v>
      </c>
      <c r="M212" t="s">
        <v>22</v>
      </c>
    </row>
    <row r="213" spans="1:13" x14ac:dyDescent="0.25">
      <c r="A213">
        <v>1212</v>
      </c>
      <c r="B213">
        <f t="shared" si="12"/>
        <v>2023</v>
      </c>
      <c r="C213" t="str">
        <f t="shared" si="13"/>
        <v>February</v>
      </c>
      <c r="D213" t="s">
        <v>190</v>
      </c>
      <c r="E213" t="s">
        <v>10</v>
      </c>
      <c r="F213" t="s">
        <v>11</v>
      </c>
      <c r="G213" t="s">
        <v>44</v>
      </c>
      <c r="H213" t="str">
        <f t="shared" si="14"/>
        <v>High</v>
      </c>
      <c r="I213">
        <v>1064</v>
      </c>
      <c r="J213">
        <v>354.86</v>
      </c>
      <c r="K213" s="3">
        <f t="shared" si="15"/>
        <v>0.33351503759398499</v>
      </c>
      <c r="L213">
        <v>7</v>
      </c>
      <c r="M213" t="s">
        <v>30</v>
      </c>
    </row>
    <row r="214" spans="1:13" x14ac:dyDescent="0.25">
      <c r="A214">
        <v>1213</v>
      </c>
      <c r="B214">
        <f t="shared" si="12"/>
        <v>2023</v>
      </c>
      <c r="C214" t="str">
        <f t="shared" si="13"/>
        <v>January</v>
      </c>
      <c r="D214" t="s">
        <v>191</v>
      </c>
      <c r="E214" t="s">
        <v>19</v>
      </c>
      <c r="F214" t="s">
        <v>20</v>
      </c>
      <c r="G214" t="s">
        <v>21</v>
      </c>
      <c r="H214" t="str">
        <f t="shared" si="14"/>
        <v>Low</v>
      </c>
      <c r="I214">
        <v>159</v>
      </c>
      <c r="J214">
        <v>27.02</v>
      </c>
      <c r="K214" s="3">
        <f t="shared" si="15"/>
        <v>0.16993710691823899</v>
      </c>
      <c r="L214">
        <v>1</v>
      </c>
      <c r="M214" t="s">
        <v>13</v>
      </c>
    </row>
    <row r="215" spans="1:13" x14ac:dyDescent="0.25">
      <c r="A215">
        <v>1214</v>
      </c>
      <c r="B215">
        <f t="shared" si="12"/>
        <v>2023</v>
      </c>
      <c r="C215" t="str">
        <f t="shared" si="13"/>
        <v>September</v>
      </c>
      <c r="D215" t="s">
        <v>79</v>
      </c>
      <c r="E215" t="s">
        <v>17</v>
      </c>
      <c r="F215" t="s">
        <v>27</v>
      </c>
      <c r="G215" t="s">
        <v>95</v>
      </c>
      <c r="H215" t="str">
        <f t="shared" si="14"/>
        <v>High</v>
      </c>
      <c r="I215">
        <v>2331</v>
      </c>
      <c r="J215">
        <v>288.75</v>
      </c>
      <c r="K215" s="3">
        <f t="shared" si="15"/>
        <v>0.12387387387387387</v>
      </c>
      <c r="L215">
        <v>3</v>
      </c>
      <c r="M215" t="s">
        <v>13</v>
      </c>
    </row>
    <row r="216" spans="1:13" x14ac:dyDescent="0.25">
      <c r="A216">
        <v>1215</v>
      </c>
      <c r="B216">
        <f t="shared" si="12"/>
        <v>2023</v>
      </c>
      <c r="C216" t="str">
        <f t="shared" si="13"/>
        <v>September</v>
      </c>
      <c r="D216" t="s">
        <v>74</v>
      </c>
      <c r="E216" t="s">
        <v>24</v>
      </c>
      <c r="F216" t="s">
        <v>11</v>
      </c>
      <c r="G216" t="s">
        <v>44</v>
      </c>
      <c r="H216" t="str">
        <f t="shared" si="14"/>
        <v>High</v>
      </c>
      <c r="I216">
        <v>1386</v>
      </c>
      <c r="J216">
        <v>223.07</v>
      </c>
      <c r="K216" s="3">
        <f t="shared" si="15"/>
        <v>0.16094516594516595</v>
      </c>
      <c r="L216">
        <v>9</v>
      </c>
      <c r="M216" t="s">
        <v>13</v>
      </c>
    </row>
    <row r="217" spans="1:13" x14ac:dyDescent="0.25">
      <c r="A217">
        <v>1216</v>
      </c>
      <c r="B217">
        <f t="shared" si="12"/>
        <v>2023</v>
      </c>
      <c r="C217" t="str">
        <f t="shared" si="13"/>
        <v>February</v>
      </c>
      <c r="D217" t="s">
        <v>192</v>
      </c>
      <c r="E217" t="s">
        <v>24</v>
      </c>
      <c r="F217" t="s">
        <v>20</v>
      </c>
      <c r="G217" t="s">
        <v>25</v>
      </c>
      <c r="H217" t="str">
        <f t="shared" si="14"/>
        <v>High</v>
      </c>
      <c r="I217">
        <v>4970</v>
      </c>
      <c r="J217">
        <v>1242</v>
      </c>
      <c r="K217" s="3">
        <f t="shared" si="15"/>
        <v>0.24989939637826961</v>
      </c>
      <c r="L217">
        <v>7</v>
      </c>
      <c r="M217" t="s">
        <v>13</v>
      </c>
    </row>
    <row r="218" spans="1:13" x14ac:dyDescent="0.25">
      <c r="A218">
        <v>1217</v>
      </c>
      <c r="B218">
        <f t="shared" si="12"/>
        <v>2023</v>
      </c>
      <c r="C218" t="str">
        <f t="shared" si="13"/>
        <v>October</v>
      </c>
      <c r="D218" t="s">
        <v>193</v>
      </c>
      <c r="E218" t="s">
        <v>24</v>
      </c>
      <c r="F218" t="s">
        <v>11</v>
      </c>
      <c r="G218" t="s">
        <v>84</v>
      </c>
      <c r="H218" t="str">
        <f t="shared" si="14"/>
        <v>Medium</v>
      </c>
      <c r="I218">
        <v>230</v>
      </c>
      <c r="J218">
        <v>54.64</v>
      </c>
      <c r="K218" s="3">
        <f t="shared" si="15"/>
        <v>0.23756521739130435</v>
      </c>
      <c r="L218">
        <v>10</v>
      </c>
      <c r="M218" t="s">
        <v>13</v>
      </c>
    </row>
    <row r="219" spans="1:13" x14ac:dyDescent="0.25">
      <c r="A219">
        <v>1218</v>
      </c>
      <c r="B219">
        <f t="shared" si="12"/>
        <v>2023</v>
      </c>
      <c r="C219" t="str">
        <f t="shared" si="13"/>
        <v>December</v>
      </c>
      <c r="D219" t="s">
        <v>179</v>
      </c>
      <c r="E219" t="s">
        <v>19</v>
      </c>
      <c r="F219" t="s">
        <v>20</v>
      </c>
      <c r="G219" t="s">
        <v>39</v>
      </c>
      <c r="H219" t="str">
        <f t="shared" si="14"/>
        <v>Medium</v>
      </c>
      <c r="I219">
        <v>576</v>
      </c>
      <c r="J219">
        <v>63.17</v>
      </c>
      <c r="K219" s="3">
        <f t="shared" si="15"/>
        <v>0.10967013888888889</v>
      </c>
      <c r="L219">
        <v>4</v>
      </c>
      <c r="M219" t="s">
        <v>30</v>
      </c>
    </row>
    <row r="220" spans="1:13" x14ac:dyDescent="0.25">
      <c r="A220">
        <v>1219</v>
      </c>
      <c r="B220">
        <f t="shared" si="12"/>
        <v>2023</v>
      </c>
      <c r="C220" t="str">
        <f t="shared" si="13"/>
        <v>March</v>
      </c>
      <c r="D220" t="s">
        <v>194</v>
      </c>
      <c r="E220" t="s">
        <v>24</v>
      </c>
      <c r="F220" t="s">
        <v>20</v>
      </c>
      <c r="G220" t="s">
        <v>55</v>
      </c>
      <c r="H220" t="str">
        <f t="shared" si="14"/>
        <v>High</v>
      </c>
      <c r="I220">
        <v>3479</v>
      </c>
      <c r="J220">
        <v>1006.27</v>
      </c>
      <c r="K220" s="3">
        <f t="shared" si="15"/>
        <v>0.28924116125323368</v>
      </c>
      <c r="L220">
        <v>7</v>
      </c>
      <c r="M220" t="s">
        <v>22</v>
      </c>
    </row>
    <row r="221" spans="1:13" x14ac:dyDescent="0.25">
      <c r="A221">
        <v>1220</v>
      </c>
      <c r="B221">
        <f t="shared" si="12"/>
        <v>2023</v>
      </c>
      <c r="C221" t="str">
        <f t="shared" si="13"/>
        <v>April</v>
      </c>
      <c r="D221" t="s">
        <v>195</v>
      </c>
      <c r="E221" t="s">
        <v>17</v>
      </c>
      <c r="F221" t="s">
        <v>27</v>
      </c>
      <c r="G221" t="s">
        <v>28</v>
      </c>
      <c r="H221" t="str">
        <f t="shared" si="14"/>
        <v>High</v>
      </c>
      <c r="I221">
        <v>7452</v>
      </c>
      <c r="J221">
        <v>1653.44</v>
      </c>
      <c r="K221" s="3">
        <f t="shared" si="15"/>
        <v>0.2218786902844874</v>
      </c>
      <c r="L221">
        <v>9</v>
      </c>
      <c r="M221" t="s">
        <v>13</v>
      </c>
    </row>
    <row r="222" spans="1:13" x14ac:dyDescent="0.25">
      <c r="A222">
        <v>1221</v>
      </c>
      <c r="B222">
        <f t="shared" si="12"/>
        <v>2023</v>
      </c>
      <c r="C222" t="str">
        <f t="shared" si="13"/>
        <v>June</v>
      </c>
      <c r="D222" t="s">
        <v>196</v>
      </c>
      <c r="E222" t="s">
        <v>19</v>
      </c>
      <c r="F222" t="s">
        <v>27</v>
      </c>
      <c r="G222" t="s">
        <v>36</v>
      </c>
      <c r="H222" t="str">
        <f t="shared" si="14"/>
        <v>High</v>
      </c>
      <c r="I222">
        <v>7578</v>
      </c>
      <c r="J222">
        <v>1999.09</v>
      </c>
      <c r="K222" s="3">
        <f t="shared" si="15"/>
        <v>0.26380179466877801</v>
      </c>
      <c r="L222">
        <v>9</v>
      </c>
      <c r="M222" t="s">
        <v>13</v>
      </c>
    </row>
    <row r="223" spans="1:13" x14ac:dyDescent="0.25">
      <c r="A223">
        <v>1222</v>
      </c>
      <c r="B223">
        <f t="shared" si="12"/>
        <v>2023</v>
      </c>
      <c r="C223" t="str">
        <f t="shared" si="13"/>
        <v>May</v>
      </c>
      <c r="D223" t="s">
        <v>186</v>
      </c>
      <c r="E223" t="s">
        <v>19</v>
      </c>
      <c r="F223" t="s">
        <v>11</v>
      </c>
      <c r="G223" t="s">
        <v>44</v>
      </c>
      <c r="H223" t="str">
        <f t="shared" si="14"/>
        <v>Medium</v>
      </c>
      <c r="I223">
        <v>430</v>
      </c>
      <c r="J223">
        <v>123.93</v>
      </c>
      <c r="K223" s="3">
        <f t="shared" si="15"/>
        <v>0.2882093023255814</v>
      </c>
      <c r="L223">
        <v>5</v>
      </c>
      <c r="M223" t="s">
        <v>30</v>
      </c>
    </row>
    <row r="224" spans="1:13" x14ac:dyDescent="0.25">
      <c r="A224">
        <v>1223</v>
      </c>
      <c r="B224">
        <f t="shared" si="12"/>
        <v>2023</v>
      </c>
      <c r="C224" t="str">
        <f t="shared" si="13"/>
        <v>September</v>
      </c>
      <c r="D224" t="s">
        <v>169</v>
      </c>
      <c r="E224" t="s">
        <v>19</v>
      </c>
      <c r="F224" t="s">
        <v>11</v>
      </c>
      <c r="G224" t="s">
        <v>33</v>
      </c>
      <c r="H224" t="str">
        <f t="shared" si="14"/>
        <v>Medium</v>
      </c>
      <c r="I224">
        <v>246</v>
      </c>
      <c r="J224">
        <v>57.77</v>
      </c>
      <c r="K224" s="3">
        <f t="shared" si="15"/>
        <v>0.23483739837398376</v>
      </c>
      <c r="L224">
        <v>6</v>
      </c>
      <c r="M224" t="s">
        <v>22</v>
      </c>
    </row>
    <row r="225" spans="1:13" x14ac:dyDescent="0.25">
      <c r="A225">
        <v>1224</v>
      </c>
      <c r="B225">
        <f t="shared" si="12"/>
        <v>2023</v>
      </c>
      <c r="C225" t="str">
        <f t="shared" si="13"/>
        <v>March</v>
      </c>
      <c r="D225" t="s">
        <v>197</v>
      </c>
      <c r="E225" t="s">
        <v>19</v>
      </c>
      <c r="F225" t="s">
        <v>11</v>
      </c>
      <c r="G225" t="s">
        <v>84</v>
      </c>
      <c r="H225" t="str">
        <f t="shared" si="14"/>
        <v>High</v>
      </c>
      <c r="I225">
        <v>960</v>
      </c>
      <c r="J225">
        <v>97.28</v>
      </c>
      <c r="K225" s="3">
        <f t="shared" si="15"/>
        <v>0.10133333333333333</v>
      </c>
      <c r="L225">
        <v>5</v>
      </c>
      <c r="M225" t="s">
        <v>22</v>
      </c>
    </row>
    <row r="226" spans="1:13" x14ac:dyDescent="0.25">
      <c r="A226">
        <v>1225</v>
      </c>
      <c r="B226">
        <f t="shared" si="12"/>
        <v>2023</v>
      </c>
      <c r="C226" t="str">
        <f t="shared" si="13"/>
        <v>April</v>
      </c>
      <c r="D226" t="s">
        <v>198</v>
      </c>
      <c r="E226" t="s">
        <v>19</v>
      </c>
      <c r="F226" t="s">
        <v>27</v>
      </c>
      <c r="G226" t="s">
        <v>73</v>
      </c>
      <c r="H226" t="str">
        <f t="shared" si="14"/>
        <v>High</v>
      </c>
      <c r="I226">
        <v>6525</v>
      </c>
      <c r="J226">
        <v>1000.53</v>
      </c>
      <c r="K226" s="3">
        <f t="shared" si="15"/>
        <v>0.15333793103448276</v>
      </c>
      <c r="L226">
        <v>9</v>
      </c>
      <c r="M226" t="s">
        <v>30</v>
      </c>
    </row>
    <row r="227" spans="1:13" x14ac:dyDescent="0.25">
      <c r="A227">
        <v>1226</v>
      </c>
      <c r="B227">
        <f t="shared" si="12"/>
        <v>2023</v>
      </c>
      <c r="C227" t="str">
        <f t="shared" si="13"/>
        <v>January</v>
      </c>
      <c r="D227" t="s">
        <v>188</v>
      </c>
      <c r="E227" t="s">
        <v>17</v>
      </c>
      <c r="F227" t="s">
        <v>20</v>
      </c>
      <c r="G227" t="s">
        <v>39</v>
      </c>
      <c r="H227" t="str">
        <f t="shared" si="14"/>
        <v>High</v>
      </c>
      <c r="I227">
        <v>4878</v>
      </c>
      <c r="J227">
        <v>459.37</v>
      </c>
      <c r="K227" s="3">
        <f t="shared" si="15"/>
        <v>9.4171791717917175E-2</v>
      </c>
      <c r="L227">
        <v>9</v>
      </c>
      <c r="M227" t="s">
        <v>30</v>
      </c>
    </row>
    <row r="228" spans="1:13" x14ac:dyDescent="0.25">
      <c r="A228">
        <v>1227</v>
      </c>
      <c r="B228">
        <f t="shared" si="12"/>
        <v>2023</v>
      </c>
      <c r="C228" t="str">
        <f t="shared" si="13"/>
        <v>December</v>
      </c>
      <c r="D228" t="s">
        <v>179</v>
      </c>
      <c r="E228" t="s">
        <v>19</v>
      </c>
      <c r="F228" t="s">
        <v>27</v>
      </c>
      <c r="G228" t="s">
        <v>73</v>
      </c>
      <c r="H228" t="str">
        <f t="shared" si="14"/>
        <v>High</v>
      </c>
      <c r="I228">
        <v>2139</v>
      </c>
      <c r="J228">
        <v>406.12</v>
      </c>
      <c r="K228" s="3">
        <f t="shared" si="15"/>
        <v>0.18986442262739597</v>
      </c>
      <c r="L228">
        <v>3</v>
      </c>
      <c r="M228" t="s">
        <v>30</v>
      </c>
    </row>
    <row r="229" spans="1:13" x14ac:dyDescent="0.25">
      <c r="A229">
        <v>1228</v>
      </c>
      <c r="B229">
        <f t="shared" si="12"/>
        <v>2023</v>
      </c>
      <c r="C229" t="str">
        <f t="shared" si="13"/>
        <v>June</v>
      </c>
      <c r="D229" t="s">
        <v>115</v>
      </c>
      <c r="E229" t="s">
        <v>17</v>
      </c>
      <c r="F229" t="s">
        <v>27</v>
      </c>
      <c r="G229" t="s">
        <v>95</v>
      </c>
      <c r="H229" t="str">
        <f t="shared" si="14"/>
        <v>High</v>
      </c>
      <c r="I229">
        <v>1205</v>
      </c>
      <c r="J229">
        <v>283.19</v>
      </c>
      <c r="K229" s="3">
        <f t="shared" si="15"/>
        <v>0.23501244813278008</v>
      </c>
      <c r="L229">
        <v>5</v>
      </c>
      <c r="M229" t="s">
        <v>22</v>
      </c>
    </row>
    <row r="230" spans="1:13" x14ac:dyDescent="0.25">
      <c r="A230">
        <v>1229</v>
      </c>
      <c r="B230">
        <f t="shared" si="12"/>
        <v>2023</v>
      </c>
      <c r="C230" t="str">
        <f t="shared" si="13"/>
        <v>April</v>
      </c>
      <c r="D230" t="s">
        <v>70</v>
      </c>
      <c r="E230" t="s">
        <v>17</v>
      </c>
      <c r="F230" t="s">
        <v>11</v>
      </c>
      <c r="G230" t="s">
        <v>12</v>
      </c>
      <c r="H230" t="str">
        <f t="shared" si="14"/>
        <v>Low</v>
      </c>
      <c r="I230">
        <v>57</v>
      </c>
      <c r="J230">
        <v>18.97</v>
      </c>
      <c r="K230" s="3">
        <f t="shared" si="15"/>
        <v>0.33280701754385961</v>
      </c>
      <c r="L230">
        <v>1</v>
      </c>
      <c r="M230" t="s">
        <v>22</v>
      </c>
    </row>
    <row r="231" spans="1:13" x14ac:dyDescent="0.25">
      <c r="A231">
        <v>1230</v>
      </c>
      <c r="B231">
        <f t="shared" si="12"/>
        <v>2023</v>
      </c>
      <c r="C231" t="str">
        <f t="shared" si="13"/>
        <v>October</v>
      </c>
      <c r="D231" t="s">
        <v>46</v>
      </c>
      <c r="E231" t="s">
        <v>10</v>
      </c>
      <c r="F231" t="s">
        <v>27</v>
      </c>
      <c r="G231" t="s">
        <v>28</v>
      </c>
      <c r="H231" t="str">
        <f t="shared" si="14"/>
        <v>High</v>
      </c>
      <c r="I231">
        <v>4930</v>
      </c>
      <c r="J231">
        <v>999.18</v>
      </c>
      <c r="K231" s="3">
        <f t="shared" si="15"/>
        <v>0.2026734279918864</v>
      </c>
      <c r="L231">
        <v>10</v>
      </c>
      <c r="M231" t="s">
        <v>22</v>
      </c>
    </row>
    <row r="232" spans="1:13" x14ac:dyDescent="0.25">
      <c r="A232">
        <v>1231</v>
      </c>
      <c r="B232">
        <f t="shared" si="12"/>
        <v>2023</v>
      </c>
      <c r="C232" t="str">
        <f t="shared" si="13"/>
        <v>September</v>
      </c>
      <c r="D232" t="s">
        <v>199</v>
      </c>
      <c r="E232" t="s">
        <v>19</v>
      </c>
      <c r="F232" t="s">
        <v>11</v>
      </c>
      <c r="G232" t="s">
        <v>15</v>
      </c>
      <c r="H232" t="str">
        <f t="shared" si="14"/>
        <v>Medium</v>
      </c>
      <c r="I232">
        <v>304</v>
      </c>
      <c r="J232">
        <v>51.46</v>
      </c>
      <c r="K232" s="3">
        <f t="shared" si="15"/>
        <v>0.16927631578947369</v>
      </c>
      <c r="L232">
        <v>8</v>
      </c>
      <c r="M232" t="s">
        <v>30</v>
      </c>
    </row>
    <row r="233" spans="1:13" x14ac:dyDescent="0.25">
      <c r="A233">
        <v>1232</v>
      </c>
      <c r="B233">
        <f t="shared" si="12"/>
        <v>2023</v>
      </c>
      <c r="C233" t="str">
        <f t="shared" si="13"/>
        <v>April</v>
      </c>
      <c r="D233" t="s">
        <v>176</v>
      </c>
      <c r="E233" t="s">
        <v>24</v>
      </c>
      <c r="F233" t="s">
        <v>11</v>
      </c>
      <c r="G233" t="s">
        <v>84</v>
      </c>
      <c r="H233" t="str">
        <f t="shared" si="14"/>
        <v>Low</v>
      </c>
      <c r="I233">
        <v>155</v>
      </c>
      <c r="J233">
        <v>40.619999999999997</v>
      </c>
      <c r="K233" s="3">
        <f t="shared" si="15"/>
        <v>0.26206451612903225</v>
      </c>
      <c r="L233">
        <v>1</v>
      </c>
      <c r="M233" t="s">
        <v>13</v>
      </c>
    </row>
    <row r="234" spans="1:13" x14ac:dyDescent="0.25">
      <c r="A234">
        <v>1233</v>
      </c>
      <c r="B234">
        <f t="shared" si="12"/>
        <v>2023</v>
      </c>
      <c r="C234" t="str">
        <f t="shared" si="13"/>
        <v>September</v>
      </c>
      <c r="D234" t="s">
        <v>79</v>
      </c>
      <c r="E234" t="s">
        <v>19</v>
      </c>
      <c r="F234" t="s">
        <v>20</v>
      </c>
      <c r="G234" t="s">
        <v>21</v>
      </c>
      <c r="H234" t="str">
        <f t="shared" si="14"/>
        <v>High</v>
      </c>
      <c r="I234">
        <v>1542</v>
      </c>
      <c r="J234">
        <v>163.07</v>
      </c>
      <c r="K234" s="3">
        <f t="shared" si="15"/>
        <v>0.10575226977950714</v>
      </c>
      <c r="L234">
        <v>6</v>
      </c>
      <c r="M234" t="s">
        <v>22</v>
      </c>
    </row>
    <row r="235" spans="1:13" x14ac:dyDescent="0.25">
      <c r="A235">
        <v>1234</v>
      </c>
      <c r="B235">
        <f t="shared" si="12"/>
        <v>2023</v>
      </c>
      <c r="C235" t="str">
        <f t="shared" si="13"/>
        <v>January</v>
      </c>
      <c r="D235" t="s">
        <v>88</v>
      </c>
      <c r="E235" t="s">
        <v>24</v>
      </c>
      <c r="F235" t="s">
        <v>20</v>
      </c>
      <c r="G235" t="s">
        <v>55</v>
      </c>
      <c r="H235" t="str">
        <f t="shared" si="14"/>
        <v>High</v>
      </c>
      <c r="I235">
        <v>4325</v>
      </c>
      <c r="J235">
        <v>1226.2</v>
      </c>
      <c r="K235" s="3">
        <f t="shared" si="15"/>
        <v>0.28351445086705201</v>
      </c>
      <c r="L235">
        <v>5</v>
      </c>
      <c r="M235" t="s">
        <v>30</v>
      </c>
    </row>
    <row r="236" spans="1:13" x14ac:dyDescent="0.25">
      <c r="A236">
        <v>1235</v>
      </c>
      <c r="B236">
        <f t="shared" si="12"/>
        <v>2023</v>
      </c>
      <c r="C236" t="str">
        <f t="shared" si="13"/>
        <v>December</v>
      </c>
      <c r="D236" t="s">
        <v>200</v>
      </c>
      <c r="E236" t="s">
        <v>10</v>
      </c>
      <c r="F236" t="s">
        <v>27</v>
      </c>
      <c r="G236" t="s">
        <v>73</v>
      </c>
      <c r="H236" t="str">
        <f t="shared" si="14"/>
        <v>High</v>
      </c>
      <c r="I236">
        <v>1278</v>
      </c>
      <c r="J236">
        <v>143.03</v>
      </c>
      <c r="K236" s="3">
        <f t="shared" si="15"/>
        <v>0.11191705790297339</v>
      </c>
      <c r="L236">
        <v>6</v>
      </c>
      <c r="M236" t="s">
        <v>22</v>
      </c>
    </row>
    <row r="237" spans="1:13" x14ac:dyDescent="0.25">
      <c r="A237">
        <v>1236</v>
      </c>
      <c r="B237">
        <f t="shared" si="12"/>
        <v>2023</v>
      </c>
      <c r="C237" t="str">
        <f t="shared" si="13"/>
        <v>September</v>
      </c>
      <c r="D237" t="s">
        <v>201</v>
      </c>
      <c r="E237" t="s">
        <v>19</v>
      </c>
      <c r="F237" t="s">
        <v>27</v>
      </c>
      <c r="G237" t="s">
        <v>36</v>
      </c>
      <c r="H237" t="str">
        <f t="shared" si="14"/>
        <v>High</v>
      </c>
      <c r="I237">
        <v>4020</v>
      </c>
      <c r="J237">
        <v>720.53</v>
      </c>
      <c r="K237" s="3">
        <f t="shared" si="15"/>
        <v>0.1792363184079602</v>
      </c>
      <c r="L237">
        <v>5</v>
      </c>
      <c r="M237" t="s">
        <v>13</v>
      </c>
    </row>
    <row r="238" spans="1:13" x14ac:dyDescent="0.25">
      <c r="A238">
        <v>1237</v>
      </c>
      <c r="B238">
        <f t="shared" si="12"/>
        <v>2023</v>
      </c>
      <c r="C238" t="str">
        <f t="shared" si="13"/>
        <v>March</v>
      </c>
      <c r="D238" t="s">
        <v>202</v>
      </c>
      <c r="E238" t="s">
        <v>17</v>
      </c>
      <c r="F238" t="s">
        <v>20</v>
      </c>
      <c r="G238" t="s">
        <v>21</v>
      </c>
      <c r="H238" t="str">
        <f t="shared" si="14"/>
        <v>High</v>
      </c>
      <c r="I238">
        <v>6760</v>
      </c>
      <c r="J238">
        <v>1543.26</v>
      </c>
      <c r="K238" s="3">
        <f t="shared" si="15"/>
        <v>0.22829289940828401</v>
      </c>
      <c r="L238">
        <v>8</v>
      </c>
      <c r="M238" t="s">
        <v>22</v>
      </c>
    </row>
    <row r="239" spans="1:13" x14ac:dyDescent="0.25">
      <c r="A239">
        <v>1238</v>
      </c>
      <c r="B239">
        <f t="shared" si="12"/>
        <v>2023</v>
      </c>
      <c r="C239" t="str">
        <f t="shared" si="13"/>
        <v>November</v>
      </c>
      <c r="D239" t="s">
        <v>40</v>
      </c>
      <c r="E239" t="s">
        <v>17</v>
      </c>
      <c r="F239" t="s">
        <v>27</v>
      </c>
      <c r="G239" t="s">
        <v>36</v>
      </c>
      <c r="H239" t="str">
        <f t="shared" si="14"/>
        <v>High</v>
      </c>
      <c r="I239">
        <v>1214</v>
      </c>
      <c r="J239">
        <v>327.8</v>
      </c>
      <c r="K239" s="3">
        <f t="shared" si="15"/>
        <v>0.27001647446457994</v>
      </c>
      <c r="L239">
        <v>2</v>
      </c>
      <c r="M239" t="s">
        <v>13</v>
      </c>
    </row>
    <row r="240" spans="1:13" x14ac:dyDescent="0.25">
      <c r="A240">
        <v>1239</v>
      </c>
      <c r="B240">
        <f t="shared" si="12"/>
        <v>2023</v>
      </c>
      <c r="C240" t="str">
        <f t="shared" si="13"/>
        <v>October</v>
      </c>
      <c r="D240" t="s">
        <v>78</v>
      </c>
      <c r="E240" t="s">
        <v>10</v>
      </c>
      <c r="F240" t="s">
        <v>20</v>
      </c>
      <c r="G240" t="s">
        <v>39</v>
      </c>
      <c r="H240" t="str">
        <f t="shared" si="14"/>
        <v>High</v>
      </c>
      <c r="I240">
        <v>4446</v>
      </c>
      <c r="J240">
        <v>535.57000000000005</v>
      </c>
      <c r="K240" s="3">
        <f t="shared" si="15"/>
        <v>0.12046108861898337</v>
      </c>
      <c r="L240">
        <v>9</v>
      </c>
      <c r="M240" t="s">
        <v>30</v>
      </c>
    </row>
    <row r="241" spans="1:13" x14ac:dyDescent="0.25">
      <c r="A241">
        <v>1240</v>
      </c>
      <c r="B241">
        <f t="shared" si="12"/>
        <v>2023</v>
      </c>
      <c r="C241" t="str">
        <f t="shared" si="13"/>
        <v>April</v>
      </c>
      <c r="D241" t="s">
        <v>203</v>
      </c>
      <c r="E241" t="s">
        <v>10</v>
      </c>
      <c r="F241" t="s">
        <v>27</v>
      </c>
      <c r="G241" t="s">
        <v>95</v>
      </c>
      <c r="H241" t="str">
        <f t="shared" si="14"/>
        <v>High</v>
      </c>
      <c r="I241">
        <v>2430</v>
      </c>
      <c r="J241">
        <v>486.68</v>
      </c>
      <c r="K241" s="3">
        <f t="shared" si="15"/>
        <v>0.20027983539094651</v>
      </c>
      <c r="L241">
        <v>10</v>
      </c>
      <c r="M241" t="s">
        <v>13</v>
      </c>
    </row>
    <row r="242" spans="1:13" x14ac:dyDescent="0.25">
      <c r="A242">
        <v>1241</v>
      </c>
      <c r="B242">
        <f t="shared" si="12"/>
        <v>2023</v>
      </c>
      <c r="C242" t="str">
        <f t="shared" si="13"/>
        <v>August</v>
      </c>
      <c r="D242" t="s">
        <v>184</v>
      </c>
      <c r="E242" t="s">
        <v>17</v>
      </c>
      <c r="F242" t="s">
        <v>20</v>
      </c>
      <c r="G242" t="s">
        <v>55</v>
      </c>
      <c r="H242" t="str">
        <f t="shared" si="14"/>
        <v>High</v>
      </c>
      <c r="I242">
        <v>1584</v>
      </c>
      <c r="J242">
        <v>414.45</v>
      </c>
      <c r="K242" s="3">
        <f t="shared" si="15"/>
        <v>0.26164772727272728</v>
      </c>
      <c r="L242">
        <v>8</v>
      </c>
      <c r="M242" t="s">
        <v>13</v>
      </c>
    </row>
    <row r="243" spans="1:13" x14ac:dyDescent="0.25">
      <c r="A243">
        <v>1242</v>
      </c>
      <c r="B243">
        <f t="shared" si="12"/>
        <v>2023</v>
      </c>
      <c r="C243" t="str">
        <f t="shared" si="13"/>
        <v>January</v>
      </c>
      <c r="D243" t="s">
        <v>57</v>
      </c>
      <c r="E243" t="s">
        <v>19</v>
      </c>
      <c r="F243" t="s">
        <v>27</v>
      </c>
      <c r="G243" t="s">
        <v>28</v>
      </c>
      <c r="H243" t="str">
        <f t="shared" si="14"/>
        <v>High</v>
      </c>
      <c r="I243">
        <v>784</v>
      </c>
      <c r="J243">
        <v>135.65</v>
      </c>
      <c r="K243" s="3">
        <f t="shared" si="15"/>
        <v>0.17302295918367347</v>
      </c>
      <c r="L243">
        <v>4</v>
      </c>
      <c r="M243" t="s">
        <v>22</v>
      </c>
    </row>
    <row r="244" spans="1:13" x14ac:dyDescent="0.25">
      <c r="A244">
        <v>1243</v>
      </c>
      <c r="B244">
        <f t="shared" si="12"/>
        <v>2023</v>
      </c>
      <c r="C244" t="str">
        <f t="shared" si="13"/>
        <v>August</v>
      </c>
      <c r="D244" t="s">
        <v>120</v>
      </c>
      <c r="E244" t="s">
        <v>10</v>
      </c>
      <c r="F244" t="s">
        <v>20</v>
      </c>
      <c r="G244" t="s">
        <v>39</v>
      </c>
      <c r="H244" t="str">
        <f t="shared" si="14"/>
        <v>High</v>
      </c>
      <c r="I244">
        <v>667</v>
      </c>
      <c r="J244">
        <v>191.84</v>
      </c>
      <c r="K244" s="3">
        <f t="shared" si="15"/>
        <v>0.28761619190404797</v>
      </c>
      <c r="L244">
        <v>1</v>
      </c>
      <c r="M244" t="s">
        <v>30</v>
      </c>
    </row>
    <row r="245" spans="1:13" x14ac:dyDescent="0.25">
      <c r="A245">
        <v>1244</v>
      </c>
      <c r="B245">
        <f t="shared" si="12"/>
        <v>2023</v>
      </c>
      <c r="C245" t="str">
        <f t="shared" si="13"/>
        <v>August</v>
      </c>
      <c r="D245" t="s">
        <v>204</v>
      </c>
      <c r="E245" t="s">
        <v>24</v>
      </c>
      <c r="F245" t="s">
        <v>11</v>
      </c>
      <c r="G245" t="s">
        <v>84</v>
      </c>
      <c r="H245" t="str">
        <f t="shared" si="14"/>
        <v>High</v>
      </c>
      <c r="I245">
        <v>1288</v>
      </c>
      <c r="J245">
        <v>438.33</v>
      </c>
      <c r="K245" s="3">
        <f t="shared" si="15"/>
        <v>0.34031832298136644</v>
      </c>
      <c r="L245">
        <v>7</v>
      </c>
      <c r="M245" t="s">
        <v>22</v>
      </c>
    </row>
    <row r="246" spans="1:13" x14ac:dyDescent="0.25">
      <c r="A246">
        <v>1245</v>
      </c>
      <c r="B246">
        <f t="shared" si="12"/>
        <v>2023</v>
      </c>
      <c r="C246" t="str">
        <f t="shared" si="13"/>
        <v>April</v>
      </c>
      <c r="D246" t="s">
        <v>205</v>
      </c>
      <c r="E246" t="s">
        <v>24</v>
      </c>
      <c r="F246" t="s">
        <v>11</v>
      </c>
      <c r="G246" t="s">
        <v>33</v>
      </c>
      <c r="H246" t="str">
        <f t="shared" si="14"/>
        <v>Medium</v>
      </c>
      <c r="I246">
        <v>378</v>
      </c>
      <c r="J246">
        <v>104.53</v>
      </c>
      <c r="K246" s="3">
        <f t="shared" si="15"/>
        <v>0.27653439153439152</v>
      </c>
      <c r="L246">
        <v>9</v>
      </c>
      <c r="M246" t="s">
        <v>30</v>
      </c>
    </row>
    <row r="247" spans="1:13" x14ac:dyDescent="0.25">
      <c r="A247">
        <v>1246</v>
      </c>
      <c r="B247">
        <f t="shared" si="12"/>
        <v>2023</v>
      </c>
      <c r="C247" t="str">
        <f t="shared" si="13"/>
        <v>August</v>
      </c>
      <c r="D247" t="s">
        <v>206</v>
      </c>
      <c r="E247" t="s">
        <v>10</v>
      </c>
      <c r="F247" t="s">
        <v>20</v>
      </c>
      <c r="G247" t="s">
        <v>42</v>
      </c>
      <c r="H247" t="str">
        <f t="shared" si="14"/>
        <v>High</v>
      </c>
      <c r="I247">
        <v>8532</v>
      </c>
      <c r="J247">
        <v>2579.29</v>
      </c>
      <c r="K247" s="3">
        <f t="shared" si="15"/>
        <v>0.30230778246601031</v>
      </c>
      <c r="L247">
        <v>9</v>
      </c>
      <c r="M247" t="s">
        <v>22</v>
      </c>
    </row>
    <row r="248" spans="1:13" x14ac:dyDescent="0.25">
      <c r="A248">
        <v>1247</v>
      </c>
      <c r="B248">
        <f t="shared" si="12"/>
        <v>2023</v>
      </c>
      <c r="C248" t="str">
        <f t="shared" si="13"/>
        <v>May</v>
      </c>
      <c r="D248" t="s">
        <v>121</v>
      </c>
      <c r="E248" t="s">
        <v>24</v>
      </c>
      <c r="F248" t="s">
        <v>20</v>
      </c>
      <c r="G248" t="s">
        <v>55</v>
      </c>
      <c r="H248" t="str">
        <f t="shared" si="14"/>
        <v>High</v>
      </c>
      <c r="I248">
        <v>1244</v>
      </c>
      <c r="J248">
        <v>240.33</v>
      </c>
      <c r="K248" s="3">
        <f t="shared" si="15"/>
        <v>0.19319131832797429</v>
      </c>
      <c r="L248">
        <v>4</v>
      </c>
      <c r="M248" t="s">
        <v>30</v>
      </c>
    </row>
    <row r="249" spans="1:13" x14ac:dyDescent="0.25">
      <c r="A249">
        <v>1248</v>
      </c>
      <c r="B249">
        <f t="shared" si="12"/>
        <v>2023</v>
      </c>
      <c r="C249" t="str">
        <f t="shared" si="13"/>
        <v>February</v>
      </c>
      <c r="D249" t="s">
        <v>29</v>
      </c>
      <c r="E249" t="s">
        <v>17</v>
      </c>
      <c r="F249" t="s">
        <v>20</v>
      </c>
      <c r="G249" t="s">
        <v>21</v>
      </c>
      <c r="H249" t="str">
        <f t="shared" si="14"/>
        <v>High</v>
      </c>
      <c r="I249">
        <v>1480</v>
      </c>
      <c r="J249">
        <v>386.94</v>
      </c>
      <c r="K249" s="3">
        <f t="shared" si="15"/>
        <v>0.26144594594594595</v>
      </c>
      <c r="L249">
        <v>10</v>
      </c>
      <c r="M249" t="s">
        <v>30</v>
      </c>
    </row>
    <row r="250" spans="1:13" x14ac:dyDescent="0.25">
      <c r="A250">
        <v>1249</v>
      </c>
      <c r="B250">
        <f t="shared" si="12"/>
        <v>2023</v>
      </c>
      <c r="C250" t="str">
        <f t="shared" si="13"/>
        <v>August</v>
      </c>
      <c r="D250" t="s">
        <v>158</v>
      </c>
      <c r="E250" t="s">
        <v>10</v>
      </c>
      <c r="F250" t="s">
        <v>20</v>
      </c>
      <c r="G250" t="s">
        <v>21</v>
      </c>
      <c r="H250" t="str">
        <f t="shared" si="14"/>
        <v>High</v>
      </c>
      <c r="I250">
        <v>4740</v>
      </c>
      <c r="J250">
        <v>558.54999999999995</v>
      </c>
      <c r="K250" s="3">
        <f t="shared" si="15"/>
        <v>0.11783755274261602</v>
      </c>
      <c r="L250">
        <v>4</v>
      </c>
      <c r="M250" t="s">
        <v>22</v>
      </c>
    </row>
    <row r="251" spans="1:13" x14ac:dyDescent="0.25">
      <c r="A251">
        <v>1250</v>
      </c>
      <c r="B251">
        <f t="shared" si="12"/>
        <v>2023</v>
      </c>
      <c r="C251" t="str">
        <f t="shared" si="13"/>
        <v>November</v>
      </c>
      <c r="D251" t="s">
        <v>207</v>
      </c>
      <c r="E251" t="s">
        <v>24</v>
      </c>
      <c r="F251" t="s">
        <v>27</v>
      </c>
      <c r="G251" t="s">
        <v>36</v>
      </c>
      <c r="H251" t="str">
        <f t="shared" si="14"/>
        <v>High</v>
      </c>
      <c r="I251">
        <v>2754</v>
      </c>
      <c r="J251">
        <v>953.26</v>
      </c>
      <c r="K251" s="3">
        <f t="shared" si="15"/>
        <v>0.34613652868554828</v>
      </c>
      <c r="L251">
        <v>6</v>
      </c>
      <c r="M251" t="s">
        <v>13</v>
      </c>
    </row>
    <row r="252" spans="1:13" x14ac:dyDescent="0.25">
      <c r="A252">
        <v>1251</v>
      </c>
      <c r="B252">
        <f t="shared" si="12"/>
        <v>2023</v>
      </c>
      <c r="C252" t="str">
        <f t="shared" si="13"/>
        <v>May</v>
      </c>
      <c r="D252" t="s">
        <v>9</v>
      </c>
      <c r="E252" t="s">
        <v>19</v>
      </c>
      <c r="F252" t="s">
        <v>11</v>
      </c>
      <c r="G252" t="s">
        <v>33</v>
      </c>
      <c r="H252" t="str">
        <f t="shared" si="14"/>
        <v>Low</v>
      </c>
      <c r="I252">
        <v>183</v>
      </c>
      <c r="J252">
        <v>35.75</v>
      </c>
      <c r="K252" s="3">
        <f t="shared" si="15"/>
        <v>0.1953551912568306</v>
      </c>
      <c r="L252">
        <v>1</v>
      </c>
      <c r="M252" t="s">
        <v>22</v>
      </c>
    </row>
    <row r="253" spans="1:13" x14ac:dyDescent="0.25">
      <c r="A253">
        <v>1252</v>
      </c>
      <c r="B253">
        <f t="shared" si="12"/>
        <v>2023</v>
      </c>
      <c r="C253" t="str">
        <f t="shared" si="13"/>
        <v>December</v>
      </c>
      <c r="D253" t="s">
        <v>31</v>
      </c>
      <c r="E253" t="s">
        <v>24</v>
      </c>
      <c r="F253" t="s">
        <v>27</v>
      </c>
      <c r="G253" t="s">
        <v>28</v>
      </c>
      <c r="H253" t="str">
        <f t="shared" si="14"/>
        <v>High</v>
      </c>
      <c r="I253">
        <v>3332</v>
      </c>
      <c r="J253">
        <v>641.1</v>
      </c>
      <c r="K253" s="3">
        <f t="shared" si="15"/>
        <v>0.19240696278511404</v>
      </c>
      <c r="L253">
        <v>7</v>
      </c>
      <c r="M253" t="s">
        <v>13</v>
      </c>
    </row>
    <row r="254" spans="1:13" x14ac:dyDescent="0.25">
      <c r="A254">
        <v>1253</v>
      </c>
      <c r="B254">
        <f t="shared" si="12"/>
        <v>2023</v>
      </c>
      <c r="C254" t="str">
        <f t="shared" si="13"/>
        <v>October</v>
      </c>
      <c r="D254" t="s">
        <v>208</v>
      </c>
      <c r="E254" t="s">
        <v>19</v>
      </c>
      <c r="F254" t="s">
        <v>20</v>
      </c>
      <c r="G254" t="s">
        <v>25</v>
      </c>
      <c r="H254" t="str">
        <f t="shared" si="14"/>
        <v>High</v>
      </c>
      <c r="I254">
        <v>4584</v>
      </c>
      <c r="J254">
        <v>1428.08</v>
      </c>
      <c r="K254" s="3">
        <f t="shared" si="15"/>
        <v>0.31153577661431064</v>
      </c>
      <c r="L254">
        <v>8</v>
      </c>
      <c r="M254" t="s">
        <v>30</v>
      </c>
    </row>
    <row r="255" spans="1:13" x14ac:dyDescent="0.25">
      <c r="A255">
        <v>1254</v>
      </c>
      <c r="B255">
        <f t="shared" si="12"/>
        <v>2023</v>
      </c>
      <c r="C255" t="str">
        <f t="shared" si="13"/>
        <v>July</v>
      </c>
      <c r="D255" t="s">
        <v>209</v>
      </c>
      <c r="E255" t="s">
        <v>10</v>
      </c>
      <c r="F255" t="s">
        <v>20</v>
      </c>
      <c r="G255" t="s">
        <v>55</v>
      </c>
      <c r="H255" t="str">
        <f t="shared" si="14"/>
        <v>High</v>
      </c>
      <c r="I255">
        <v>8155</v>
      </c>
      <c r="J255">
        <v>1187.1400000000001</v>
      </c>
      <c r="K255" s="3">
        <f t="shared" si="15"/>
        <v>0.14557204169221338</v>
      </c>
      <c r="L255">
        <v>7</v>
      </c>
      <c r="M255" t="s">
        <v>13</v>
      </c>
    </row>
    <row r="256" spans="1:13" x14ac:dyDescent="0.25">
      <c r="A256">
        <v>1255</v>
      </c>
      <c r="B256">
        <f t="shared" si="12"/>
        <v>2023</v>
      </c>
      <c r="C256" t="str">
        <f t="shared" si="13"/>
        <v>July</v>
      </c>
      <c r="D256" t="s">
        <v>63</v>
      </c>
      <c r="E256" t="s">
        <v>10</v>
      </c>
      <c r="F256" t="s">
        <v>20</v>
      </c>
      <c r="G256" t="s">
        <v>25</v>
      </c>
      <c r="H256" t="str">
        <f t="shared" si="14"/>
        <v>High</v>
      </c>
      <c r="I256">
        <v>2352</v>
      </c>
      <c r="J256">
        <v>220.89</v>
      </c>
      <c r="K256" s="3">
        <f t="shared" si="15"/>
        <v>9.3915816326530607E-2</v>
      </c>
      <c r="L256">
        <v>2</v>
      </c>
      <c r="M256" t="s">
        <v>22</v>
      </c>
    </row>
    <row r="257" spans="1:13" x14ac:dyDescent="0.25">
      <c r="A257">
        <v>1256</v>
      </c>
      <c r="B257">
        <f t="shared" si="12"/>
        <v>2023</v>
      </c>
      <c r="C257" t="str">
        <f t="shared" si="13"/>
        <v>October</v>
      </c>
      <c r="D257" t="s">
        <v>210</v>
      </c>
      <c r="E257" t="s">
        <v>10</v>
      </c>
      <c r="F257" t="s">
        <v>27</v>
      </c>
      <c r="G257" t="s">
        <v>28</v>
      </c>
      <c r="H257" t="str">
        <f t="shared" si="14"/>
        <v>High</v>
      </c>
      <c r="I257">
        <v>5760</v>
      </c>
      <c r="J257">
        <v>1813.01</v>
      </c>
      <c r="K257" s="3">
        <f t="shared" si="15"/>
        <v>0.31475868055555556</v>
      </c>
      <c r="L257">
        <v>9</v>
      </c>
      <c r="M257" t="s">
        <v>30</v>
      </c>
    </row>
    <row r="258" spans="1:13" x14ac:dyDescent="0.25">
      <c r="A258">
        <v>1257</v>
      </c>
      <c r="B258">
        <f t="shared" ref="B258:B321" si="16">YEAR(D258)</f>
        <v>2023</v>
      </c>
      <c r="C258" t="str">
        <f t="shared" ref="C258:C321" si="17">TEXT(D258,"mmmm")</f>
        <v>April</v>
      </c>
      <c r="D258" t="s">
        <v>58</v>
      </c>
      <c r="E258" t="s">
        <v>10</v>
      </c>
      <c r="F258" t="s">
        <v>27</v>
      </c>
      <c r="G258" t="s">
        <v>73</v>
      </c>
      <c r="H258" t="str">
        <f t="shared" ref="H258:H321" si="18">IF(I258&lt;=200,"Low",IF(I258&lt;=600,"Medium","High"))</f>
        <v>High</v>
      </c>
      <c r="I258">
        <v>796</v>
      </c>
      <c r="J258">
        <v>193.58</v>
      </c>
      <c r="K258" s="3">
        <f t="shared" ref="K258:K321" si="19">J258/I258</f>
        <v>0.24319095477386937</v>
      </c>
      <c r="L258">
        <v>2</v>
      </c>
      <c r="M258" t="s">
        <v>30</v>
      </c>
    </row>
    <row r="259" spans="1:13" x14ac:dyDescent="0.25">
      <c r="A259">
        <v>1258</v>
      </c>
      <c r="B259">
        <f t="shared" si="16"/>
        <v>2023</v>
      </c>
      <c r="C259" t="str">
        <f t="shared" si="17"/>
        <v>June</v>
      </c>
      <c r="D259" t="s">
        <v>115</v>
      </c>
      <c r="E259" t="s">
        <v>17</v>
      </c>
      <c r="F259" t="s">
        <v>20</v>
      </c>
      <c r="G259" t="s">
        <v>55</v>
      </c>
      <c r="H259" t="str">
        <f t="shared" si="18"/>
        <v>High</v>
      </c>
      <c r="I259">
        <v>4295</v>
      </c>
      <c r="J259">
        <v>1095.8900000000001</v>
      </c>
      <c r="K259" s="3">
        <f t="shared" si="19"/>
        <v>0.25515483119906873</v>
      </c>
      <c r="L259">
        <v>5</v>
      </c>
      <c r="M259" t="s">
        <v>13</v>
      </c>
    </row>
    <row r="260" spans="1:13" x14ac:dyDescent="0.25">
      <c r="A260">
        <v>1259</v>
      </c>
      <c r="B260">
        <f t="shared" si="16"/>
        <v>2023</v>
      </c>
      <c r="C260" t="str">
        <f t="shared" si="17"/>
        <v>September</v>
      </c>
      <c r="D260" t="s">
        <v>187</v>
      </c>
      <c r="E260" t="s">
        <v>24</v>
      </c>
      <c r="F260" t="s">
        <v>27</v>
      </c>
      <c r="G260" t="s">
        <v>73</v>
      </c>
      <c r="H260" t="str">
        <f t="shared" si="18"/>
        <v>High</v>
      </c>
      <c r="I260">
        <v>7112</v>
      </c>
      <c r="J260">
        <v>2031.47</v>
      </c>
      <c r="K260" s="3">
        <f t="shared" si="19"/>
        <v>0.28563976377952754</v>
      </c>
      <c r="L260">
        <v>8</v>
      </c>
      <c r="M260" t="s">
        <v>13</v>
      </c>
    </row>
    <row r="261" spans="1:13" x14ac:dyDescent="0.25">
      <c r="A261">
        <v>1260</v>
      </c>
      <c r="B261">
        <f t="shared" si="16"/>
        <v>2023</v>
      </c>
      <c r="C261" t="str">
        <f t="shared" si="17"/>
        <v>July</v>
      </c>
      <c r="D261" t="s">
        <v>209</v>
      </c>
      <c r="E261" t="s">
        <v>24</v>
      </c>
      <c r="F261" t="s">
        <v>27</v>
      </c>
      <c r="G261" t="s">
        <v>36</v>
      </c>
      <c r="H261" t="str">
        <f t="shared" si="18"/>
        <v>Medium</v>
      </c>
      <c r="I261">
        <v>299</v>
      </c>
      <c r="J261">
        <v>44.97</v>
      </c>
      <c r="K261" s="3">
        <f t="shared" si="19"/>
        <v>0.15040133779264214</v>
      </c>
      <c r="L261">
        <v>1</v>
      </c>
      <c r="M261" t="s">
        <v>22</v>
      </c>
    </row>
    <row r="262" spans="1:13" x14ac:dyDescent="0.25">
      <c r="A262">
        <v>1261</v>
      </c>
      <c r="B262">
        <f t="shared" si="16"/>
        <v>2023</v>
      </c>
      <c r="C262" t="str">
        <f t="shared" si="17"/>
        <v>March</v>
      </c>
      <c r="D262" t="s">
        <v>202</v>
      </c>
      <c r="E262" t="s">
        <v>19</v>
      </c>
      <c r="F262" t="s">
        <v>11</v>
      </c>
      <c r="G262" t="s">
        <v>15</v>
      </c>
      <c r="H262" t="str">
        <f t="shared" si="18"/>
        <v>Medium</v>
      </c>
      <c r="I262">
        <v>428</v>
      </c>
      <c r="J262">
        <v>100.08</v>
      </c>
      <c r="K262" s="3">
        <f t="shared" si="19"/>
        <v>0.23383177570093458</v>
      </c>
      <c r="L262">
        <v>4</v>
      </c>
      <c r="M262" t="s">
        <v>22</v>
      </c>
    </row>
    <row r="263" spans="1:13" x14ac:dyDescent="0.25">
      <c r="A263">
        <v>1262</v>
      </c>
      <c r="B263">
        <f t="shared" si="16"/>
        <v>2023</v>
      </c>
      <c r="C263" t="str">
        <f t="shared" si="17"/>
        <v>September</v>
      </c>
      <c r="D263" t="s">
        <v>97</v>
      </c>
      <c r="E263" t="s">
        <v>24</v>
      </c>
      <c r="F263" t="s">
        <v>20</v>
      </c>
      <c r="G263" t="s">
        <v>55</v>
      </c>
      <c r="H263" t="str">
        <f t="shared" si="18"/>
        <v>High</v>
      </c>
      <c r="I263">
        <v>8184</v>
      </c>
      <c r="J263">
        <v>2411.36</v>
      </c>
      <c r="K263" s="3">
        <f t="shared" si="19"/>
        <v>0.29464320625610951</v>
      </c>
      <c r="L263">
        <v>8</v>
      </c>
      <c r="M263" t="s">
        <v>22</v>
      </c>
    </row>
    <row r="264" spans="1:13" x14ac:dyDescent="0.25">
      <c r="A264">
        <v>1263</v>
      </c>
      <c r="B264">
        <f t="shared" si="16"/>
        <v>2023</v>
      </c>
      <c r="C264" t="str">
        <f t="shared" si="17"/>
        <v>October</v>
      </c>
      <c r="D264" t="s">
        <v>211</v>
      </c>
      <c r="E264" t="s">
        <v>19</v>
      </c>
      <c r="F264" t="s">
        <v>20</v>
      </c>
      <c r="G264" t="s">
        <v>21</v>
      </c>
      <c r="H264" t="str">
        <f t="shared" si="18"/>
        <v>High</v>
      </c>
      <c r="I264">
        <v>1153</v>
      </c>
      <c r="J264">
        <v>386.49</v>
      </c>
      <c r="K264" s="3">
        <f t="shared" si="19"/>
        <v>0.33520381613183003</v>
      </c>
      <c r="L264">
        <v>1</v>
      </c>
      <c r="M264" t="s">
        <v>30</v>
      </c>
    </row>
    <row r="265" spans="1:13" x14ac:dyDescent="0.25">
      <c r="A265">
        <v>1264</v>
      </c>
      <c r="B265">
        <f t="shared" si="16"/>
        <v>2023</v>
      </c>
      <c r="C265" t="str">
        <f t="shared" si="17"/>
        <v>March</v>
      </c>
      <c r="D265" t="s">
        <v>175</v>
      </c>
      <c r="E265" t="s">
        <v>10</v>
      </c>
      <c r="F265" t="s">
        <v>11</v>
      </c>
      <c r="G265" t="s">
        <v>12</v>
      </c>
      <c r="H265" t="str">
        <f t="shared" si="18"/>
        <v>Low</v>
      </c>
      <c r="I265">
        <v>192</v>
      </c>
      <c r="J265">
        <v>15.83</v>
      </c>
      <c r="K265" s="3">
        <f t="shared" si="19"/>
        <v>8.2447916666666662E-2</v>
      </c>
      <c r="L265">
        <v>4</v>
      </c>
      <c r="M265" t="s">
        <v>22</v>
      </c>
    </row>
    <row r="266" spans="1:13" x14ac:dyDescent="0.25">
      <c r="A266">
        <v>1265</v>
      </c>
      <c r="B266">
        <f t="shared" si="16"/>
        <v>2023</v>
      </c>
      <c r="C266" t="str">
        <f t="shared" si="17"/>
        <v>November</v>
      </c>
      <c r="D266" t="s">
        <v>26</v>
      </c>
      <c r="E266" t="s">
        <v>24</v>
      </c>
      <c r="F266" t="s">
        <v>11</v>
      </c>
      <c r="G266" t="s">
        <v>84</v>
      </c>
      <c r="H266" t="str">
        <f t="shared" si="18"/>
        <v>High</v>
      </c>
      <c r="I266">
        <v>1340</v>
      </c>
      <c r="J266">
        <v>112.89</v>
      </c>
      <c r="K266" s="3">
        <f t="shared" si="19"/>
        <v>8.4246268656716417E-2</v>
      </c>
      <c r="L266">
        <v>10</v>
      </c>
      <c r="M266" t="s">
        <v>30</v>
      </c>
    </row>
    <row r="267" spans="1:13" x14ac:dyDescent="0.25">
      <c r="A267">
        <v>1266</v>
      </c>
      <c r="B267">
        <f t="shared" si="16"/>
        <v>2023</v>
      </c>
      <c r="C267" t="str">
        <f t="shared" si="17"/>
        <v>January</v>
      </c>
      <c r="D267" t="s">
        <v>212</v>
      </c>
      <c r="E267" t="s">
        <v>19</v>
      </c>
      <c r="F267" t="s">
        <v>11</v>
      </c>
      <c r="G267" t="s">
        <v>15</v>
      </c>
      <c r="H267" t="str">
        <f t="shared" si="18"/>
        <v>High</v>
      </c>
      <c r="I267">
        <v>747</v>
      </c>
      <c r="J267">
        <v>63.22</v>
      </c>
      <c r="K267" s="3">
        <f t="shared" si="19"/>
        <v>8.4631860776439083E-2</v>
      </c>
      <c r="L267">
        <v>9</v>
      </c>
      <c r="M267" t="s">
        <v>30</v>
      </c>
    </row>
    <row r="268" spans="1:13" x14ac:dyDescent="0.25">
      <c r="A268">
        <v>1267</v>
      </c>
      <c r="B268">
        <f t="shared" si="16"/>
        <v>2023</v>
      </c>
      <c r="C268" t="str">
        <f t="shared" si="17"/>
        <v>February</v>
      </c>
      <c r="D268" t="s">
        <v>190</v>
      </c>
      <c r="E268" t="s">
        <v>17</v>
      </c>
      <c r="F268" t="s">
        <v>11</v>
      </c>
      <c r="G268" t="s">
        <v>84</v>
      </c>
      <c r="H268" t="str">
        <f t="shared" si="18"/>
        <v>Medium</v>
      </c>
      <c r="I268">
        <v>531</v>
      </c>
      <c r="J268">
        <v>131.34</v>
      </c>
      <c r="K268" s="3">
        <f t="shared" si="19"/>
        <v>0.24734463276836158</v>
      </c>
      <c r="L268">
        <v>9</v>
      </c>
      <c r="M268" t="s">
        <v>30</v>
      </c>
    </row>
    <row r="269" spans="1:13" x14ac:dyDescent="0.25">
      <c r="A269">
        <v>1268</v>
      </c>
      <c r="B269">
        <f t="shared" si="16"/>
        <v>2023</v>
      </c>
      <c r="C269" t="str">
        <f t="shared" si="17"/>
        <v>February</v>
      </c>
      <c r="D269" t="s">
        <v>213</v>
      </c>
      <c r="E269" t="s">
        <v>24</v>
      </c>
      <c r="F269" t="s">
        <v>27</v>
      </c>
      <c r="G269" t="s">
        <v>73</v>
      </c>
      <c r="H269" t="str">
        <f t="shared" si="18"/>
        <v>High</v>
      </c>
      <c r="I269">
        <v>3720</v>
      </c>
      <c r="J269">
        <v>541.88</v>
      </c>
      <c r="K269" s="3">
        <f t="shared" si="19"/>
        <v>0.14566666666666667</v>
      </c>
      <c r="L269">
        <v>6</v>
      </c>
      <c r="M269" t="s">
        <v>22</v>
      </c>
    </row>
    <row r="270" spans="1:13" x14ac:dyDescent="0.25">
      <c r="A270">
        <v>1269</v>
      </c>
      <c r="B270">
        <f t="shared" si="16"/>
        <v>2023</v>
      </c>
      <c r="C270" t="str">
        <f t="shared" si="17"/>
        <v>February</v>
      </c>
      <c r="D270" t="s">
        <v>60</v>
      </c>
      <c r="E270" t="s">
        <v>24</v>
      </c>
      <c r="F270" t="s">
        <v>11</v>
      </c>
      <c r="G270" t="s">
        <v>33</v>
      </c>
      <c r="H270" t="str">
        <f t="shared" si="18"/>
        <v>Low</v>
      </c>
      <c r="I270">
        <v>107</v>
      </c>
      <c r="J270">
        <v>19.46</v>
      </c>
      <c r="K270" s="3">
        <f t="shared" si="19"/>
        <v>0.18186915887850469</v>
      </c>
      <c r="L270">
        <v>1</v>
      </c>
      <c r="M270" t="s">
        <v>13</v>
      </c>
    </row>
    <row r="271" spans="1:13" x14ac:dyDescent="0.25">
      <c r="A271">
        <v>1270</v>
      </c>
      <c r="B271">
        <f t="shared" si="16"/>
        <v>2023</v>
      </c>
      <c r="C271" t="str">
        <f t="shared" si="17"/>
        <v>March</v>
      </c>
      <c r="D271" t="s">
        <v>214</v>
      </c>
      <c r="E271" t="s">
        <v>10</v>
      </c>
      <c r="F271" t="s">
        <v>27</v>
      </c>
      <c r="G271" t="s">
        <v>28</v>
      </c>
      <c r="H271" t="str">
        <f t="shared" si="18"/>
        <v>High</v>
      </c>
      <c r="I271">
        <v>1188</v>
      </c>
      <c r="J271">
        <v>346.64</v>
      </c>
      <c r="K271" s="3">
        <f t="shared" si="19"/>
        <v>0.29178451178451176</v>
      </c>
      <c r="L271">
        <v>2</v>
      </c>
      <c r="M271" t="s">
        <v>13</v>
      </c>
    </row>
    <row r="272" spans="1:13" x14ac:dyDescent="0.25">
      <c r="A272">
        <v>1271</v>
      </c>
      <c r="B272">
        <f t="shared" si="16"/>
        <v>2023</v>
      </c>
      <c r="C272" t="str">
        <f t="shared" si="17"/>
        <v>April</v>
      </c>
      <c r="D272" t="s">
        <v>215</v>
      </c>
      <c r="E272" t="s">
        <v>10</v>
      </c>
      <c r="F272" t="s">
        <v>11</v>
      </c>
      <c r="G272" t="s">
        <v>12</v>
      </c>
      <c r="H272" t="str">
        <f t="shared" si="18"/>
        <v>Medium</v>
      </c>
      <c r="I272">
        <v>210</v>
      </c>
      <c r="J272">
        <v>69.2</v>
      </c>
      <c r="K272" s="3">
        <f t="shared" si="19"/>
        <v>0.32952380952380955</v>
      </c>
      <c r="L272">
        <v>10</v>
      </c>
      <c r="M272" t="s">
        <v>30</v>
      </c>
    </row>
    <row r="273" spans="1:13" x14ac:dyDescent="0.25">
      <c r="A273">
        <v>1272</v>
      </c>
      <c r="B273">
        <f t="shared" si="16"/>
        <v>2023</v>
      </c>
      <c r="C273" t="str">
        <f t="shared" si="17"/>
        <v>June</v>
      </c>
      <c r="D273" t="s">
        <v>216</v>
      </c>
      <c r="E273" t="s">
        <v>10</v>
      </c>
      <c r="F273" t="s">
        <v>11</v>
      </c>
      <c r="G273" t="s">
        <v>44</v>
      </c>
      <c r="H273" t="str">
        <f t="shared" si="18"/>
        <v>Low</v>
      </c>
      <c r="I273">
        <v>46</v>
      </c>
      <c r="J273">
        <v>13.02</v>
      </c>
      <c r="K273" s="3">
        <f t="shared" si="19"/>
        <v>0.28304347826086956</v>
      </c>
      <c r="L273">
        <v>1</v>
      </c>
      <c r="M273" t="s">
        <v>30</v>
      </c>
    </row>
    <row r="274" spans="1:13" x14ac:dyDescent="0.25">
      <c r="A274">
        <v>1273</v>
      </c>
      <c r="B274">
        <f t="shared" si="16"/>
        <v>2023</v>
      </c>
      <c r="C274" t="str">
        <f t="shared" si="17"/>
        <v>March</v>
      </c>
      <c r="D274" t="s">
        <v>217</v>
      </c>
      <c r="E274" t="s">
        <v>10</v>
      </c>
      <c r="F274" t="s">
        <v>11</v>
      </c>
      <c r="G274" t="s">
        <v>84</v>
      </c>
      <c r="H274" t="str">
        <f t="shared" si="18"/>
        <v>High</v>
      </c>
      <c r="I274">
        <v>1090</v>
      </c>
      <c r="J274">
        <v>286.45</v>
      </c>
      <c r="K274" s="3">
        <f t="shared" si="19"/>
        <v>0.26279816513761467</v>
      </c>
      <c r="L274">
        <v>10</v>
      </c>
      <c r="M274" t="s">
        <v>22</v>
      </c>
    </row>
    <row r="275" spans="1:13" x14ac:dyDescent="0.25">
      <c r="A275">
        <v>1274</v>
      </c>
      <c r="B275">
        <f t="shared" si="16"/>
        <v>2023</v>
      </c>
      <c r="C275" t="str">
        <f t="shared" si="17"/>
        <v>March</v>
      </c>
      <c r="D275" t="s">
        <v>218</v>
      </c>
      <c r="E275" t="s">
        <v>19</v>
      </c>
      <c r="F275" t="s">
        <v>11</v>
      </c>
      <c r="G275" t="s">
        <v>44</v>
      </c>
      <c r="H275" t="str">
        <f t="shared" si="18"/>
        <v>Low</v>
      </c>
      <c r="I275">
        <v>46</v>
      </c>
      <c r="J275">
        <v>4.8899999999999997</v>
      </c>
      <c r="K275" s="3">
        <f t="shared" si="19"/>
        <v>0.10630434782608696</v>
      </c>
      <c r="L275">
        <v>2</v>
      </c>
      <c r="M275" t="s">
        <v>13</v>
      </c>
    </row>
    <row r="276" spans="1:13" x14ac:dyDescent="0.25">
      <c r="A276">
        <v>1275</v>
      </c>
      <c r="B276">
        <f t="shared" si="16"/>
        <v>2023</v>
      </c>
      <c r="C276" t="str">
        <f t="shared" si="17"/>
        <v>November</v>
      </c>
      <c r="D276" t="s">
        <v>219</v>
      </c>
      <c r="E276" t="s">
        <v>24</v>
      </c>
      <c r="F276" t="s">
        <v>20</v>
      </c>
      <c r="G276" t="s">
        <v>42</v>
      </c>
      <c r="H276" t="str">
        <f t="shared" si="18"/>
        <v>High</v>
      </c>
      <c r="I276">
        <v>8920</v>
      </c>
      <c r="J276">
        <v>2240.8200000000002</v>
      </c>
      <c r="K276" s="3">
        <f t="shared" si="19"/>
        <v>0.25121300448430495</v>
      </c>
      <c r="L276">
        <v>10</v>
      </c>
      <c r="M276" t="s">
        <v>13</v>
      </c>
    </row>
    <row r="277" spans="1:13" x14ac:dyDescent="0.25">
      <c r="A277">
        <v>1276</v>
      </c>
      <c r="B277">
        <f t="shared" si="16"/>
        <v>2023</v>
      </c>
      <c r="C277" t="str">
        <f t="shared" si="17"/>
        <v>October</v>
      </c>
      <c r="D277" t="s">
        <v>64</v>
      </c>
      <c r="E277" t="s">
        <v>17</v>
      </c>
      <c r="F277" t="s">
        <v>27</v>
      </c>
      <c r="G277" t="s">
        <v>95</v>
      </c>
      <c r="H277" t="str">
        <f t="shared" si="18"/>
        <v>High</v>
      </c>
      <c r="I277">
        <v>2380</v>
      </c>
      <c r="J277">
        <v>566.88</v>
      </c>
      <c r="K277" s="3">
        <f t="shared" si="19"/>
        <v>0.23818487394957982</v>
      </c>
      <c r="L277">
        <v>7</v>
      </c>
      <c r="M277" t="s">
        <v>22</v>
      </c>
    </row>
    <row r="278" spans="1:13" x14ac:dyDescent="0.25">
      <c r="A278">
        <v>1277</v>
      </c>
      <c r="B278">
        <f t="shared" si="16"/>
        <v>2023</v>
      </c>
      <c r="C278" t="str">
        <f t="shared" si="17"/>
        <v>February</v>
      </c>
      <c r="D278" t="s">
        <v>152</v>
      </c>
      <c r="E278" t="s">
        <v>24</v>
      </c>
      <c r="F278" t="s">
        <v>27</v>
      </c>
      <c r="G278" t="s">
        <v>28</v>
      </c>
      <c r="H278" t="str">
        <f t="shared" si="18"/>
        <v>High</v>
      </c>
      <c r="I278">
        <v>614</v>
      </c>
      <c r="J278">
        <v>167.1</v>
      </c>
      <c r="K278" s="3">
        <f t="shared" si="19"/>
        <v>0.27214983713355045</v>
      </c>
      <c r="L278">
        <v>2</v>
      </c>
      <c r="M278" t="s">
        <v>30</v>
      </c>
    </row>
    <row r="279" spans="1:13" x14ac:dyDescent="0.25">
      <c r="A279">
        <v>1278</v>
      </c>
      <c r="B279">
        <f t="shared" si="16"/>
        <v>2023</v>
      </c>
      <c r="C279" t="str">
        <f t="shared" si="17"/>
        <v>July</v>
      </c>
      <c r="D279" t="s">
        <v>220</v>
      </c>
      <c r="E279" t="s">
        <v>19</v>
      </c>
      <c r="F279" t="s">
        <v>11</v>
      </c>
      <c r="G279" t="s">
        <v>33</v>
      </c>
      <c r="H279" t="str">
        <f t="shared" si="18"/>
        <v>Low</v>
      </c>
      <c r="I279">
        <v>176</v>
      </c>
      <c r="J279">
        <v>35.21</v>
      </c>
      <c r="K279" s="3">
        <f t="shared" si="19"/>
        <v>0.2000568181818182</v>
      </c>
      <c r="L279">
        <v>2</v>
      </c>
      <c r="M279" t="s">
        <v>22</v>
      </c>
    </row>
    <row r="280" spans="1:13" x14ac:dyDescent="0.25">
      <c r="A280">
        <v>1279</v>
      </c>
      <c r="B280">
        <f t="shared" si="16"/>
        <v>2023</v>
      </c>
      <c r="C280" t="str">
        <f t="shared" si="17"/>
        <v>April</v>
      </c>
      <c r="D280" t="s">
        <v>176</v>
      </c>
      <c r="E280" t="s">
        <v>17</v>
      </c>
      <c r="F280" t="s">
        <v>27</v>
      </c>
      <c r="G280" t="s">
        <v>28</v>
      </c>
      <c r="H280" t="str">
        <f t="shared" si="18"/>
        <v>High</v>
      </c>
      <c r="I280">
        <v>5040</v>
      </c>
      <c r="J280">
        <v>1100.53</v>
      </c>
      <c r="K280" s="3">
        <f t="shared" si="19"/>
        <v>0.21835912698412699</v>
      </c>
      <c r="L280">
        <v>7</v>
      </c>
      <c r="M280" t="s">
        <v>30</v>
      </c>
    </row>
    <row r="281" spans="1:13" x14ac:dyDescent="0.25">
      <c r="A281">
        <v>1280</v>
      </c>
      <c r="B281">
        <f t="shared" si="16"/>
        <v>2023</v>
      </c>
      <c r="C281" t="str">
        <f t="shared" si="17"/>
        <v>October</v>
      </c>
      <c r="D281" t="s">
        <v>64</v>
      </c>
      <c r="E281" t="s">
        <v>10</v>
      </c>
      <c r="F281" t="s">
        <v>20</v>
      </c>
      <c r="G281" t="s">
        <v>42</v>
      </c>
      <c r="H281" t="str">
        <f t="shared" si="18"/>
        <v>High</v>
      </c>
      <c r="I281">
        <v>1488</v>
      </c>
      <c r="J281">
        <v>236.29</v>
      </c>
      <c r="K281" s="3">
        <f t="shared" si="19"/>
        <v>0.15879704301075268</v>
      </c>
      <c r="L281">
        <v>2</v>
      </c>
      <c r="M281" t="s">
        <v>22</v>
      </c>
    </row>
    <row r="282" spans="1:13" x14ac:dyDescent="0.25">
      <c r="A282">
        <v>1281</v>
      </c>
      <c r="B282">
        <f t="shared" si="16"/>
        <v>2023</v>
      </c>
      <c r="C282" t="str">
        <f t="shared" si="17"/>
        <v>September</v>
      </c>
      <c r="D282" t="s">
        <v>221</v>
      </c>
      <c r="E282" t="s">
        <v>17</v>
      </c>
      <c r="F282" t="s">
        <v>27</v>
      </c>
      <c r="G282" t="s">
        <v>28</v>
      </c>
      <c r="H282" t="str">
        <f t="shared" si="18"/>
        <v>High</v>
      </c>
      <c r="I282">
        <v>969</v>
      </c>
      <c r="J282">
        <v>147.88</v>
      </c>
      <c r="K282" s="3">
        <f t="shared" si="19"/>
        <v>0.1526109391124871</v>
      </c>
      <c r="L282">
        <v>3</v>
      </c>
      <c r="M282" t="s">
        <v>13</v>
      </c>
    </row>
    <row r="283" spans="1:13" x14ac:dyDescent="0.25">
      <c r="A283">
        <v>1282</v>
      </c>
      <c r="B283">
        <f t="shared" si="16"/>
        <v>2023</v>
      </c>
      <c r="C283" t="str">
        <f t="shared" si="17"/>
        <v>March</v>
      </c>
      <c r="D283" t="s">
        <v>222</v>
      </c>
      <c r="E283" t="s">
        <v>17</v>
      </c>
      <c r="F283" t="s">
        <v>27</v>
      </c>
      <c r="G283" t="s">
        <v>95</v>
      </c>
      <c r="H283" t="str">
        <f t="shared" si="18"/>
        <v>High</v>
      </c>
      <c r="I283">
        <v>4067</v>
      </c>
      <c r="J283">
        <v>857.09</v>
      </c>
      <c r="K283" s="3">
        <f t="shared" si="19"/>
        <v>0.210742562085075</v>
      </c>
      <c r="L283">
        <v>7</v>
      </c>
      <c r="M283" t="s">
        <v>30</v>
      </c>
    </row>
    <row r="284" spans="1:13" x14ac:dyDescent="0.25">
      <c r="A284">
        <v>1283</v>
      </c>
      <c r="B284">
        <f t="shared" si="16"/>
        <v>2023</v>
      </c>
      <c r="C284" t="str">
        <f t="shared" si="17"/>
        <v>November</v>
      </c>
      <c r="D284" t="s">
        <v>109</v>
      </c>
      <c r="E284" t="s">
        <v>24</v>
      </c>
      <c r="F284" t="s">
        <v>20</v>
      </c>
      <c r="G284" t="s">
        <v>25</v>
      </c>
      <c r="H284" t="str">
        <f t="shared" si="18"/>
        <v>High</v>
      </c>
      <c r="I284">
        <v>3840</v>
      </c>
      <c r="J284">
        <v>447.68</v>
      </c>
      <c r="K284" s="3">
        <f t="shared" si="19"/>
        <v>0.11658333333333333</v>
      </c>
      <c r="L284">
        <v>8</v>
      </c>
      <c r="M284" t="s">
        <v>30</v>
      </c>
    </row>
    <row r="285" spans="1:13" x14ac:dyDescent="0.25">
      <c r="A285">
        <v>1284</v>
      </c>
      <c r="B285">
        <f t="shared" si="16"/>
        <v>2023</v>
      </c>
      <c r="C285" t="str">
        <f t="shared" si="17"/>
        <v>July</v>
      </c>
      <c r="D285" t="s">
        <v>32</v>
      </c>
      <c r="E285" t="s">
        <v>24</v>
      </c>
      <c r="F285" t="s">
        <v>20</v>
      </c>
      <c r="G285" t="s">
        <v>55</v>
      </c>
      <c r="H285" t="str">
        <f t="shared" si="18"/>
        <v>High</v>
      </c>
      <c r="I285">
        <v>5886</v>
      </c>
      <c r="J285">
        <v>1766.85</v>
      </c>
      <c r="K285" s="3">
        <f t="shared" si="19"/>
        <v>0.30017838939857289</v>
      </c>
      <c r="L285">
        <v>6</v>
      </c>
      <c r="M285" t="s">
        <v>13</v>
      </c>
    </row>
    <row r="286" spans="1:13" x14ac:dyDescent="0.25">
      <c r="A286">
        <v>1285</v>
      </c>
      <c r="B286">
        <f t="shared" si="16"/>
        <v>2023</v>
      </c>
      <c r="C286" t="str">
        <f t="shared" si="17"/>
        <v>June</v>
      </c>
      <c r="D286" t="s">
        <v>115</v>
      </c>
      <c r="E286" t="s">
        <v>17</v>
      </c>
      <c r="F286" t="s">
        <v>11</v>
      </c>
      <c r="G286" t="s">
        <v>15</v>
      </c>
      <c r="H286" t="str">
        <f t="shared" si="18"/>
        <v>High</v>
      </c>
      <c r="I286">
        <v>900</v>
      </c>
      <c r="J286">
        <v>115.17</v>
      </c>
      <c r="K286" s="3">
        <f t="shared" si="19"/>
        <v>0.12796666666666667</v>
      </c>
      <c r="L286">
        <v>10</v>
      </c>
      <c r="M286" t="s">
        <v>22</v>
      </c>
    </row>
    <row r="287" spans="1:13" x14ac:dyDescent="0.25">
      <c r="A287">
        <v>1286</v>
      </c>
      <c r="B287">
        <f t="shared" si="16"/>
        <v>2023</v>
      </c>
      <c r="C287" t="str">
        <f t="shared" si="17"/>
        <v>December</v>
      </c>
      <c r="D287" t="s">
        <v>223</v>
      </c>
      <c r="E287" t="s">
        <v>24</v>
      </c>
      <c r="F287" t="s">
        <v>27</v>
      </c>
      <c r="G287" t="s">
        <v>73</v>
      </c>
      <c r="H287" t="str">
        <f t="shared" si="18"/>
        <v>High</v>
      </c>
      <c r="I287">
        <v>3864</v>
      </c>
      <c r="J287">
        <v>601.54999999999995</v>
      </c>
      <c r="K287" s="3">
        <f t="shared" si="19"/>
        <v>0.15568064182194616</v>
      </c>
      <c r="L287">
        <v>8</v>
      </c>
      <c r="M287" t="s">
        <v>13</v>
      </c>
    </row>
    <row r="288" spans="1:13" x14ac:dyDescent="0.25">
      <c r="A288">
        <v>1287</v>
      </c>
      <c r="B288">
        <f t="shared" si="16"/>
        <v>2023</v>
      </c>
      <c r="C288" t="str">
        <f t="shared" si="17"/>
        <v>April</v>
      </c>
      <c r="D288" t="s">
        <v>224</v>
      </c>
      <c r="E288" t="s">
        <v>10</v>
      </c>
      <c r="F288" t="s">
        <v>27</v>
      </c>
      <c r="G288" t="s">
        <v>73</v>
      </c>
      <c r="H288" t="str">
        <f t="shared" si="18"/>
        <v>High</v>
      </c>
      <c r="I288">
        <v>3340</v>
      </c>
      <c r="J288">
        <v>959.44</v>
      </c>
      <c r="K288" s="3">
        <f t="shared" si="19"/>
        <v>0.28725748502994014</v>
      </c>
      <c r="L288">
        <v>10</v>
      </c>
      <c r="M288" t="s">
        <v>13</v>
      </c>
    </row>
    <row r="289" spans="1:13" x14ac:dyDescent="0.25">
      <c r="A289">
        <v>1288</v>
      </c>
      <c r="B289">
        <f t="shared" si="16"/>
        <v>2023</v>
      </c>
      <c r="C289" t="str">
        <f t="shared" si="17"/>
        <v>May</v>
      </c>
      <c r="D289" t="s">
        <v>225</v>
      </c>
      <c r="E289" t="s">
        <v>17</v>
      </c>
      <c r="F289" t="s">
        <v>20</v>
      </c>
      <c r="G289" t="s">
        <v>55</v>
      </c>
      <c r="H289" t="str">
        <f t="shared" si="18"/>
        <v>High</v>
      </c>
      <c r="I289">
        <v>1834</v>
      </c>
      <c r="J289">
        <v>215.64</v>
      </c>
      <c r="K289" s="3">
        <f t="shared" si="19"/>
        <v>0.11757906215921482</v>
      </c>
      <c r="L289">
        <v>2</v>
      </c>
      <c r="M289" t="s">
        <v>22</v>
      </c>
    </row>
    <row r="290" spans="1:13" x14ac:dyDescent="0.25">
      <c r="A290">
        <v>1289</v>
      </c>
      <c r="B290">
        <f t="shared" si="16"/>
        <v>2023</v>
      </c>
      <c r="C290" t="str">
        <f t="shared" si="17"/>
        <v>March</v>
      </c>
      <c r="D290" t="s">
        <v>202</v>
      </c>
      <c r="E290" t="s">
        <v>24</v>
      </c>
      <c r="F290" t="s">
        <v>27</v>
      </c>
      <c r="G290" t="s">
        <v>36</v>
      </c>
      <c r="H290" t="str">
        <f t="shared" si="18"/>
        <v>High</v>
      </c>
      <c r="I290">
        <v>1575</v>
      </c>
      <c r="J290">
        <v>547.29999999999995</v>
      </c>
      <c r="K290" s="3">
        <f t="shared" si="19"/>
        <v>0.34749206349206346</v>
      </c>
      <c r="L290">
        <v>7</v>
      </c>
      <c r="M290" t="s">
        <v>13</v>
      </c>
    </row>
    <row r="291" spans="1:13" x14ac:dyDescent="0.25">
      <c r="A291">
        <v>1290</v>
      </c>
      <c r="B291">
        <f t="shared" si="16"/>
        <v>2023</v>
      </c>
      <c r="C291" t="str">
        <f t="shared" si="17"/>
        <v>January</v>
      </c>
      <c r="D291" t="s">
        <v>226</v>
      </c>
      <c r="E291" t="s">
        <v>19</v>
      </c>
      <c r="F291" t="s">
        <v>27</v>
      </c>
      <c r="G291" t="s">
        <v>95</v>
      </c>
      <c r="H291" t="str">
        <f t="shared" si="18"/>
        <v>High</v>
      </c>
      <c r="I291">
        <v>4548</v>
      </c>
      <c r="J291">
        <v>1486.69</v>
      </c>
      <c r="K291" s="3">
        <f t="shared" si="19"/>
        <v>0.32688874230430959</v>
      </c>
      <c r="L291">
        <v>6</v>
      </c>
      <c r="M291" t="s">
        <v>13</v>
      </c>
    </row>
    <row r="292" spans="1:13" x14ac:dyDescent="0.25">
      <c r="A292">
        <v>1291</v>
      </c>
      <c r="B292">
        <f t="shared" si="16"/>
        <v>2023</v>
      </c>
      <c r="C292" t="str">
        <f t="shared" si="17"/>
        <v>November</v>
      </c>
      <c r="D292" t="s">
        <v>171</v>
      </c>
      <c r="E292" t="s">
        <v>24</v>
      </c>
      <c r="F292" t="s">
        <v>20</v>
      </c>
      <c r="G292" t="s">
        <v>21</v>
      </c>
      <c r="H292" t="str">
        <f t="shared" si="18"/>
        <v>High</v>
      </c>
      <c r="I292">
        <v>1700</v>
      </c>
      <c r="J292">
        <v>446.96</v>
      </c>
      <c r="K292" s="3">
        <f t="shared" si="19"/>
        <v>0.26291764705882353</v>
      </c>
      <c r="L292">
        <v>10</v>
      </c>
      <c r="M292" t="s">
        <v>30</v>
      </c>
    </row>
    <row r="293" spans="1:13" x14ac:dyDescent="0.25">
      <c r="A293">
        <v>1292</v>
      </c>
      <c r="B293">
        <f t="shared" si="16"/>
        <v>2023</v>
      </c>
      <c r="C293" t="str">
        <f t="shared" si="17"/>
        <v>January</v>
      </c>
      <c r="D293" t="s">
        <v>227</v>
      </c>
      <c r="E293" t="s">
        <v>19</v>
      </c>
      <c r="F293" t="s">
        <v>27</v>
      </c>
      <c r="G293" t="s">
        <v>73</v>
      </c>
      <c r="H293" t="str">
        <f t="shared" si="18"/>
        <v>High</v>
      </c>
      <c r="I293">
        <v>754</v>
      </c>
      <c r="J293">
        <v>212.36</v>
      </c>
      <c r="K293" s="3">
        <f t="shared" si="19"/>
        <v>0.28164456233421753</v>
      </c>
      <c r="L293">
        <v>2</v>
      </c>
      <c r="M293" t="s">
        <v>30</v>
      </c>
    </row>
    <row r="294" spans="1:13" x14ac:dyDescent="0.25">
      <c r="A294">
        <v>1293</v>
      </c>
      <c r="B294">
        <f t="shared" si="16"/>
        <v>2023</v>
      </c>
      <c r="C294" t="str">
        <f t="shared" si="17"/>
        <v>July</v>
      </c>
      <c r="D294" t="s">
        <v>228</v>
      </c>
      <c r="E294" t="s">
        <v>17</v>
      </c>
      <c r="F294" t="s">
        <v>11</v>
      </c>
      <c r="G294" t="s">
        <v>15</v>
      </c>
      <c r="H294" t="str">
        <f t="shared" si="18"/>
        <v>High</v>
      </c>
      <c r="I294">
        <v>1120</v>
      </c>
      <c r="J294">
        <v>298.39</v>
      </c>
      <c r="K294" s="3">
        <f t="shared" si="19"/>
        <v>0.26641964285714287</v>
      </c>
      <c r="L294">
        <v>7</v>
      </c>
      <c r="M294" t="s">
        <v>22</v>
      </c>
    </row>
    <row r="295" spans="1:13" x14ac:dyDescent="0.25">
      <c r="A295">
        <v>1294</v>
      </c>
      <c r="B295">
        <f t="shared" si="16"/>
        <v>2023</v>
      </c>
      <c r="C295" t="str">
        <f t="shared" si="17"/>
        <v>February</v>
      </c>
      <c r="D295" t="s">
        <v>229</v>
      </c>
      <c r="E295" t="s">
        <v>10</v>
      </c>
      <c r="F295" t="s">
        <v>20</v>
      </c>
      <c r="G295" t="s">
        <v>25</v>
      </c>
      <c r="H295" t="str">
        <f t="shared" si="18"/>
        <v>High</v>
      </c>
      <c r="I295">
        <v>4655</v>
      </c>
      <c r="J295">
        <v>1417.24</v>
      </c>
      <c r="K295" s="3">
        <f t="shared" si="19"/>
        <v>0.30445542427497313</v>
      </c>
      <c r="L295">
        <v>5</v>
      </c>
      <c r="M295" t="s">
        <v>22</v>
      </c>
    </row>
    <row r="296" spans="1:13" x14ac:dyDescent="0.25">
      <c r="A296">
        <v>1295</v>
      </c>
      <c r="B296">
        <f t="shared" si="16"/>
        <v>2023</v>
      </c>
      <c r="C296" t="str">
        <f t="shared" si="17"/>
        <v>June</v>
      </c>
      <c r="D296" t="s">
        <v>196</v>
      </c>
      <c r="E296" t="s">
        <v>24</v>
      </c>
      <c r="F296" t="s">
        <v>11</v>
      </c>
      <c r="G296" t="s">
        <v>33</v>
      </c>
      <c r="H296" t="str">
        <f t="shared" si="18"/>
        <v>High</v>
      </c>
      <c r="I296">
        <v>1064</v>
      </c>
      <c r="J296">
        <v>185.18</v>
      </c>
      <c r="K296" s="3">
        <f t="shared" si="19"/>
        <v>0.17404135338345866</v>
      </c>
      <c r="L296">
        <v>8</v>
      </c>
      <c r="M296" t="s">
        <v>22</v>
      </c>
    </row>
    <row r="297" spans="1:13" x14ac:dyDescent="0.25">
      <c r="A297">
        <v>1296</v>
      </c>
      <c r="B297">
        <f t="shared" si="16"/>
        <v>2023</v>
      </c>
      <c r="C297" t="str">
        <f t="shared" si="17"/>
        <v>February</v>
      </c>
      <c r="D297" t="s">
        <v>230</v>
      </c>
      <c r="E297" t="s">
        <v>19</v>
      </c>
      <c r="F297" t="s">
        <v>20</v>
      </c>
      <c r="G297" t="s">
        <v>55</v>
      </c>
      <c r="H297" t="str">
        <f t="shared" si="18"/>
        <v>High</v>
      </c>
      <c r="I297">
        <v>855</v>
      </c>
      <c r="J297">
        <v>73.61</v>
      </c>
      <c r="K297" s="3">
        <f t="shared" si="19"/>
        <v>8.6093567251461986E-2</v>
      </c>
      <c r="L297">
        <v>5</v>
      </c>
      <c r="M297" t="s">
        <v>22</v>
      </c>
    </row>
    <row r="298" spans="1:13" x14ac:dyDescent="0.25">
      <c r="A298">
        <v>1297</v>
      </c>
      <c r="B298">
        <f t="shared" si="16"/>
        <v>2023</v>
      </c>
      <c r="C298" t="str">
        <f t="shared" si="17"/>
        <v>May</v>
      </c>
      <c r="D298" t="s">
        <v>231</v>
      </c>
      <c r="E298" t="s">
        <v>17</v>
      </c>
      <c r="F298" t="s">
        <v>27</v>
      </c>
      <c r="G298" t="s">
        <v>28</v>
      </c>
      <c r="H298" t="str">
        <f t="shared" si="18"/>
        <v>High</v>
      </c>
      <c r="I298">
        <v>6435</v>
      </c>
      <c r="J298">
        <v>1089.8800000000001</v>
      </c>
      <c r="K298" s="3">
        <f t="shared" si="19"/>
        <v>0.1693675213675214</v>
      </c>
      <c r="L298">
        <v>9</v>
      </c>
      <c r="M298" t="s">
        <v>13</v>
      </c>
    </row>
    <row r="299" spans="1:13" x14ac:dyDescent="0.25">
      <c r="A299">
        <v>1298</v>
      </c>
      <c r="B299">
        <f t="shared" si="16"/>
        <v>2023</v>
      </c>
      <c r="C299" t="str">
        <f t="shared" si="17"/>
        <v>November</v>
      </c>
      <c r="D299" t="s">
        <v>232</v>
      </c>
      <c r="E299" t="s">
        <v>17</v>
      </c>
      <c r="F299" t="s">
        <v>27</v>
      </c>
      <c r="G299" t="s">
        <v>95</v>
      </c>
      <c r="H299" t="str">
        <f t="shared" si="18"/>
        <v>High</v>
      </c>
      <c r="I299">
        <v>2415</v>
      </c>
      <c r="J299">
        <v>474.97</v>
      </c>
      <c r="K299" s="3">
        <f t="shared" si="19"/>
        <v>0.19667494824016565</v>
      </c>
      <c r="L299">
        <v>3</v>
      </c>
      <c r="M299" t="s">
        <v>22</v>
      </c>
    </row>
    <row r="300" spans="1:13" x14ac:dyDescent="0.25">
      <c r="A300">
        <v>1299</v>
      </c>
      <c r="B300">
        <f t="shared" si="16"/>
        <v>2023</v>
      </c>
      <c r="C300" t="str">
        <f t="shared" si="17"/>
        <v>October</v>
      </c>
      <c r="D300" t="s">
        <v>233</v>
      </c>
      <c r="E300" t="s">
        <v>17</v>
      </c>
      <c r="F300" t="s">
        <v>20</v>
      </c>
      <c r="G300" t="s">
        <v>39</v>
      </c>
      <c r="H300" t="str">
        <f t="shared" si="18"/>
        <v>High</v>
      </c>
      <c r="I300">
        <v>6132</v>
      </c>
      <c r="J300">
        <v>846.19</v>
      </c>
      <c r="K300" s="3">
        <f t="shared" si="19"/>
        <v>0.13799575994781474</v>
      </c>
      <c r="L300">
        <v>7</v>
      </c>
      <c r="M300" t="s">
        <v>22</v>
      </c>
    </row>
    <row r="301" spans="1:13" x14ac:dyDescent="0.25">
      <c r="A301">
        <v>1300</v>
      </c>
      <c r="B301">
        <f t="shared" si="16"/>
        <v>2023</v>
      </c>
      <c r="C301" t="str">
        <f t="shared" si="17"/>
        <v>April</v>
      </c>
      <c r="D301" t="s">
        <v>176</v>
      </c>
      <c r="E301" t="s">
        <v>10</v>
      </c>
      <c r="F301" t="s">
        <v>27</v>
      </c>
      <c r="G301" t="s">
        <v>28</v>
      </c>
      <c r="H301" t="str">
        <f t="shared" si="18"/>
        <v>High</v>
      </c>
      <c r="I301">
        <v>2106</v>
      </c>
      <c r="J301">
        <v>233.28</v>
      </c>
      <c r="K301" s="3">
        <f t="shared" si="19"/>
        <v>0.11076923076923077</v>
      </c>
      <c r="L301">
        <v>6</v>
      </c>
      <c r="M301" t="s">
        <v>13</v>
      </c>
    </row>
    <row r="302" spans="1:13" x14ac:dyDescent="0.25">
      <c r="A302">
        <v>1301</v>
      </c>
      <c r="B302">
        <f t="shared" si="16"/>
        <v>2023</v>
      </c>
      <c r="C302" t="str">
        <f t="shared" si="17"/>
        <v>July</v>
      </c>
      <c r="D302" t="s">
        <v>234</v>
      </c>
      <c r="E302" t="s">
        <v>24</v>
      </c>
      <c r="F302" t="s">
        <v>11</v>
      </c>
      <c r="G302" t="s">
        <v>84</v>
      </c>
      <c r="H302" t="str">
        <f t="shared" si="18"/>
        <v>Medium</v>
      </c>
      <c r="I302">
        <v>390</v>
      </c>
      <c r="J302">
        <v>67.84</v>
      </c>
      <c r="K302" s="3">
        <f t="shared" si="19"/>
        <v>0.17394871794871797</v>
      </c>
      <c r="L302">
        <v>10</v>
      </c>
      <c r="M302" t="s">
        <v>13</v>
      </c>
    </row>
    <row r="303" spans="1:13" x14ac:dyDescent="0.25">
      <c r="A303">
        <v>1302</v>
      </c>
      <c r="B303">
        <f t="shared" si="16"/>
        <v>2023</v>
      </c>
      <c r="C303" t="str">
        <f t="shared" si="17"/>
        <v>October</v>
      </c>
      <c r="D303" t="s">
        <v>235</v>
      </c>
      <c r="E303" t="s">
        <v>24</v>
      </c>
      <c r="F303" t="s">
        <v>27</v>
      </c>
      <c r="G303" t="s">
        <v>36</v>
      </c>
      <c r="H303" t="str">
        <f t="shared" si="18"/>
        <v>High</v>
      </c>
      <c r="I303">
        <v>940</v>
      </c>
      <c r="J303">
        <v>135.75</v>
      </c>
      <c r="K303" s="3">
        <f t="shared" si="19"/>
        <v>0.14441489361702128</v>
      </c>
      <c r="L303">
        <v>2</v>
      </c>
      <c r="M303" t="s">
        <v>13</v>
      </c>
    </row>
    <row r="304" spans="1:13" x14ac:dyDescent="0.25">
      <c r="A304">
        <v>1303</v>
      </c>
      <c r="B304">
        <f t="shared" si="16"/>
        <v>2023</v>
      </c>
      <c r="C304" t="str">
        <f t="shared" si="17"/>
        <v>March</v>
      </c>
      <c r="D304" t="s">
        <v>148</v>
      </c>
      <c r="E304" t="s">
        <v>24</v>
      </c>
      <c r="F304" t="s">
        <v>20</v>
      </c>
      <c r="G304" t="s">
        <v>21</v>
      </c>
      <c r="H304" t="str">
        <f t="shared" si="18"/>
        <v>High</v>
      </c>
      <c r="I304">
        <v>7875</v>
      </c>
      <c r="J304">
        <v>923.14</v>
      </c>
      <c r="K304" s="3">
        <f t="shared" si="19"/>
        <v>0.11722412698412699</v>
      </c>
      <c r="L304">
        <v>9</v>
      </c>
      <c r="M304" t="s">
        <v>13</v>
      </c>
    </row>
    <row r="305" spans="1:13" x14ac:dyDescent="0.25">
      <c r="A305">
        <v>1304</v>
      </c>
      <c r="B305">
        <f t="shared" si="16"/>
        <v>2023</v>
      </c>
      <c r="C305" t="str">
        <f t="shared" si="17"/>
        <v>November</v>
      </c>
      <c r="D305" t="s">
        <v>236</v>
      </c>
      <c r="E305" t="s">
        <v>17</v>
      </c>
      <c r="F305" t="s">
        <v>27</v>
      </c>
      <c r="G305" t="s">
        <v>95</v>
      </c>
      <c r="H305" t="str">
        <f t="shared" si="18"/>
        <v>High</v>
      </c>
      <c r="I305">
        <v>6462</v>
      </c>
      <c r="J305">
        <v>1371.26</v>
      </c>
      <c r="K305" s="3">
        <f t="shared" si="19"/>
        <v>0.21220365212008666</v>
      </c>
      <c r="L305">
        <v>9</v>
      </c>
      <c r="M305" t="s">
        <v>22</v>
      </c>
    </row>
    <row r="306" spans="1:13" x14ac:dyDescent="0.25">
      <c r="A306">
        <v>1305</v>
      </c>
      <c r="B306">
        <f t="shared" si="16"/>
        <v>2023</v>
      </c>
      <c r="C306" t="str">
        <f t="shared" si="17"/>
        <v>November</v>
      </c>
      <c r="D306" t="s">
        <v>237</v>
      </c>
      <c r="E306" t="s">
        <v>24</v>
      </c>
      <c r="F306" t="s">
        <v>20</v>
      </c>
      <c r="G306" t="s">
        <v>21</v>
      </c>
      <c r="H306" t="str">
        <f t="shared" si="18"/>
        <v>High</v>
      </c>
      <c r="I306">
        <v>815</v>
      </c>
      <c r="J306">
        <v>95.24</v>
      </c>
      <c r="K306" s="3">
        <f t="shared" si="19"/>
        <v>0.11685889570552146</v>
      </c>
      <c r="L306">
        <v>1</v>
      </c>
      <c r="M306" t="s">
        <v>22</v>
      </c>
    </row>
    <row r="307" spans="1:13" x14ac:dyDescent="0.25">
      <c r="A307">
        <v>1306</v>
      </c>
      <c r="B307">
        <f t="shared" si="16"/>
        <v>2023</v>
      </c>
      <c r="C307" t="str">
        <f t="shared" si="17"/>
        <v>September</v>
      </c>
      <c r="D307" t="s">
        <v>238</v>
      </c>
      <c r="E307" t="s">
        <v>19</v>
      </c>
      <c r="F307" t="s">
        <v>27</v>
      </c>
      <c r="G307" t="s">
        <v>95</v>
      </c>
      <c r="H307" t="str">
        <f t="shared" si="18"/>
        <v>High</v>
      </c>
      <c r="I307">
        <v>4550</v>
      </c>
      <c r="J307">
        <v>465.56</v>
      </c>
      <c r="K307" s="3">
        <f t="shared" si="19"/>
        <v>0.10232087912087912</v>
      </c>
      <c r="L307">
        <v>7</v>
      </c>
      <c r="M307" t="s">
        <v>13</v>
      </c>
    </row>
    <row r="308" spans="1:13" x14ac:dyDescent="0.25">
      <c r="A308">
        <v>1307</v>
      </c>
      <c r="B308">
        <f t="shared" si="16"/>
        <v>2023</v>
      </c>
      <c r="C308" t="str">
        <f t="shared" si="17"/>
        <v>May</v>
      </c>
      <c r="D308" t="s">
        <v>9</v>
      </c>
      <c r="E308" t="s">
        <v>24</v>
      </c>
      <c r="F308" t="s">
        <v>20</v>
      </c>
      <c r="G308" t="s">
        <v>21</v>
      </c>
      <c r="H308" t="str">
        <f t="shared" si="18"/>
        <v>High</v>
      </c>
      <c r="I308">
        <v>4724</v>
      </c>
      <c r="J308">
        <v>1373.74</v>
      </c>
      <c r="K308" s="3">
        <f t="shared" si="19"/>
        <v>0.29080016934801017</v>
      </c>
      <c r="L308">
        <v>4</v>
      </c>
      <c r="M308" t="s">
        <v>30</v>
      </c>
    </row>
    <row r="309" spans="1:13" x14ac:dyDescent="0.25">
      <c r="A309">
        <v>1308</v>
      </c>
      <c r="B309">
        <f t="shared" si="16"/>
        <v>2023</v>
      </c>
      <c r="C309" t="str">
        <f t="shared" si="17"/>
        <v>February</v>
      </c>
      <c r="D309" t="s">
        <v>110</v>
      </c>
      <c r="E309" t="s">
        <v>10</v>
      </c>
      <c r="F309" t="s">
        <v>11</v>
      </c>
      <c r="G309" t="s">
        <v>84</v>
      </c>
      <c r="H309" t="str">
        <f t="shared" si="18"/>
        <v>High</v>
      </c>
      <c r="I309">
        <v>740</v>
      </c>
      <c r="J309">
        <v>223.56</v>
      </c>
      <c r="K309" s="3">
        <f t="shared" si="19"/>
        <v>0.30210810810810812</v>
      </c>
      <c r="L309">
        <v>5</v>
      </c>
      <c r="M309" t="s">
        <v>13</v>
      </c>
    </row>
    <row r="310" spans="1:13" x14ac:dyDescent="0.25">
      <c r="A310">
        <v>1309</v>
      </c>
      <c r="B310">
        <f t="shared" si="16"/>
        <v>2023</v>
      </c>
      <c r="C310" t="str">
        <f t="shared" si="17"/>
        <v>February</v>
      </c>
      <c r="D310" t="s">
        <v>173</v>
      </c>
      <c r="E310" t="s">
        <v>17</v>
      </c>
      <c r="F310" t="s">
        <v>20</v>
      </c>
      <c r="G310" t="s">
        <v>55</v>
      </c>
      <c r="H310" t="str">
        <f t="shared" si="18"/>
        <v>High</v>
      </c>
      <c r="I310">
        <v>2756</v>
      </c>
      <c r="J310">
        <v>416.05</v>
      </c>
      <c r="K310" s="3">
        <f t="shared" si="19"/>
        <v>0.15096153846153845</v>
      </c>
      <c r="L310">
        <v>4</v>
      </c>
      <c r="M310" t="s">
        <v>22</v>
      </c>
    </row>
    <row r="311" spans="1:13" x14ac:dyDescent="0.25">
      <c r="A311">
        <v>1310</v>
      </c>
      <c r="B311">
        <f t="shared" si="16"/>
        <v>2023</v>
      </c>
      <c r="C311" t="str">
        <f t="shared" si="17"/>
        <v>April</v>
      </c>
      <c r="D311" t="s">
        <v>239</v>
      </c>
      <c r="E311" t="s">
        <v>10</v>
      </c>
      <c r="F311" t="s">
        <v>20</v>
      </c>
      <c r="G311" t="s">
        <v>55</v>
      </c>
      <c r="H311" t="str">
        <f t="shared" si="18"/>
        <v>High</v>
      </c>
      <c r="I311">
        <v>7980</v>
      </c>
      <c r="J311">
        <v>2001.77</v>
      </c>
      <c r="K311" s="3">
        <f t="shared" si="19"/>
        <v>0.25084837092731832</v>
      </c>
      <c r="L311">
        <v>10</v>
      </c>
      <c r="M311" t="s">
        <v>30</v>
      </c>
    </row>
    <row r="312" spans="1:13" x14ac:dyDescent="0.25">
      <c r="A312">
        <v>1311</v>
      </c>
      <c r="B312">
        <f t="shared" si="16"/>
        <v>2023</v>
      </c>
      <c r="C312" t="str">
        <f t="shared" si="17"/>
        <v>April</v>
      </c>
      <c r="D312" t="s">
        <v>203</v>
      </c>
      <c r="E312" t="s">
        <v>17</v>
      </c>
      <c r="F312" t="s">
        <v>20</v>
      </c>
      <c r="G312" t="s">
        <v>39</v>
      </c>
      <c r="H312" t="str">
        <f t="shared" si="18"/>
        <v>High</v>
      </c>
      <c r="I312">
        <v>798</v>
      </c>
      <c r="J312">
        <v>192.44</v>
      </c>
      <c r="K312" s="3">
        <f t="shared" si="19"/>
        <v>0.24115288220551379</v>
      </c>
      <c r="L312">
        <v>1</v>
      </c>
      <c r="M312" t="s">
        <v>30</v>
      </c>
    </row>
    <row r="313" spans="1:13" x14ac:dyDescent="0.25">
      <c r="A313">
        <v>1312</v>
      </c>
      <c r="B313">
        <f t="shared" si="16"/>
        <v>2023</v>
      </c>
      <c r="C313" t="str">
        <f t="shared" si="17"/>
        <v>October</v>
      </c>
      <c r="D313" t="s">
        <v>240</v>
      </c>
      <c r="E313" t="s">
        <v>24</v>
      </c>
      <c r="F313" t="s">
        <v>20</v>
      </c>
      <c r="G313" t="s">
        <v>25</v>
      </c>
      <c r="H313" t="str">
        <f t="shared" si="18"/>
        <v>High</v>
      </c>
      <c r="I313">
        <v>5665</v>
      </c>
      <c r="J313">
        <v>660.59</v>
      </c>
      <c r="K313" s="3">
        <f t="shared" si="19"/>
        <v>0.11660900264783761</v>
      </c>
      <c r="L313">
        <v>5</v>
      </c>
      <c r="M313" t="s">
        <v>22</v>
      </c>
    </row>
    <row r="314" spans="1:13" x14ac:dyDescent="0.25">
      <c r="A314">
        <v>1313</v>
      </c>
      <c r="B314">
        <f t="shared" si="16"/>
        <v>2023</v>
      </c>
      <c r="C314" t="str">
        <f t="shared" si="17"/>
        <v>March</v>
      </c>
      <c r="D314" t="s">
        <v>92</v>
      </c>
      <c r="E314" t="s">
        <v>24</v>
      </c>
      <c r="F314" t="s">
        <v>27</v>
      </c>
      <c r="G314" t="s">
        <v>28</v>
      </c>
      <c r="H314" t="str">
        <f t="shared" si="18"/>
        <v>High</v>
      </c>
      <c r="I314">
        <v>897</v>
      </c>
      <c r="J314">
        <v>149.77000000000001</v>
      </c>
      <c r="K314" s="3">
        <f t="shared" si="19"/>
        <v>0.16696767001114829</v>
      </c>
      <c r="L314">
        <v>3</v>
      </c>
      <c r="M314" t="s">
        <v>13</v>
      </c>
    </row>
    <row r="315" spans="1:13" x14ac:dyDescent="0.25">
      <c r="A315">
        <v>1314</v>
      </c>
      <c r="B315">
        <f t="shared" si="16"/>
        <v>2023</v>
      </c>
      <c r="C315" t="str">
        <f t="shared" si="17"/>
        <v>October</v>
      </c>
      <c r="D315" t="s">
        <v>182</v>
      </c>
      <c r="E315" t="s">
        <v>19</v>
      </c>
      <c r="F315" t="s">
        <v>20</v>
      </c>
      <c r="G315" t="s">
        <v>55</v>
      </c>
      <c r="H315" t="str">
        <f t="shared" si="18"/>
        <v>High</v>
      </c>
      <c r="I315">
        <v>4640</v>
      </c>
      <c r="J315">
        <v>465.81</v>
      </c>
      <c r="K315" s="3">
        <f t="shared" si="19"/>
        <v>0.10039008620689656</v>
      </c>
      <c r="L315">
        <v>5</v>
      </c>
      <c r="M315" t="s">
        <v>30</v>
      </c>
    </row>
    <row r="316" spans="1:13" x14ac:dyDescent="0.25">
      <c r="A316">
        <v>1315</v>
      </c>
      <c r="B316">
        <f t="shared" si="16"/>
        <v>2023</v>
      </c>
      <c r="C316" t="str">
        <f t="shared" si="17"/>
        <v>July</v>
      </c>
      <c r="D316" t="s">
        <v>241</v>
      </c>
      <c r="E316" t="s">
        <v>24</v>
      </c>
      <c r="F316" t="s">
        <v>20</v>
      </c>
      <c r="G316" t="s">
        <v>55</v>
      </c>
      <c r="H316" t="str">
        <f t="shared" si="18"/>
        <v>High</v>
      </c>
      <c r="I316">
        <v>8632</v>
      </c>
      <c r="J316">
        <v>696.32</v>
      </c>
      <c r="K316" s="3">
        <f t="shared" si="19"/>
        <v>8.0667284522706217E-2</v>
      </c>
      <c r="L316">
        <v>8</v>
      </c>
      <c r="M316" t="s">
        <v>13</v>
      </c>
    </row>
    <row r="317" spans="1:13" x14ac:dyDescent="0.25">
      <c r="A317">
        <v>1316</v>
      </c>
      <c r="B317">
        <f t="shared" si="16"/>
        <v>2023</v>
      </c>
      <c r="C317" t="str">
        <f t="shared" si="17"/>
        <v>December</v>
      </c>
      <c r="D317" t="s">
        <v>242</v>
      </c>
      <c r="E317" t="s">
        <v>19</v>
      </c>
      <c r="F317" t="s">
        <v>11</v>
      </c>
      <c r="G317" t="s">
        <v>12</v>
      </c>
      <c r="H317" t="str">
        <f t="shared" si="18"/>
        <v>High</v>
      </c>
      <c r="I317">
        <v>666</v>
      </c>
      <c r="J317">
        <v>92.45</v>
      </c>
      <c r="K317" s="3">
        <f t="shared" si="19"/>
        <v>0.13881381381381383</v>
      </c>
      <c r="L317">
        <v>6</v>
      </c>
      <c r="M317" t="s">
        <v>13</v>
      </c>
    </row>
    <row r="318" spans="1:13" x14ac:dyDescent="0.25">
      <c r="A318">
        <v>1317</v>
      </c>
      <c r="B318">
        <f t="shared" si="16"/>
        <v>2023</v>
      </c>
      <c r="C318" t="str">
        <f t="shared" si="17"/>
        <v>June</v>
      </c>
      <c r="D318" t="s">
        <v>45</v>
      </c>
      <c r="E318" t="s">
        <v>19</v>
      </c>
      <c r="F318" t="s">
        <v>27</v>
      </c>
      <c r="G318" t="s">
        <v>36</v>
      </c>
      <c r="H318" t="str">
        <f t="shared" si="18"/>
        <v>High</v>
      </c>
      <c r="I318">
        <v>3550</v>
      </c>
      <c r="J318">
        <v>409.17</v>
      </c>
      <c r="K318" s="3">
        <f t="shared" si="19"/>
        <v>0.11525915492957747</v>
      </c>
      <c r="L318">
        <v>5</v>
      </c>
      <c r="M318" t="s">
        <v>22</v>
      </c>
    </row>
    <row r="319" spans="1:13" x14ac:dyDescent="0.25">
      <c r="A319">
        <v>1318</v>
      </c>
      <c r="B319">
        <f t="shared" si="16"/>
        <v>2023</v>
      </c>
      <c r="C319" t="str">
        <f t="shared" si="17"/>
        <v>February</v>
      </c>
      <c r="D319" t="s">
        <v>243</v>
      </c>
      <c r="E319" t="s">
        <v>10</v>
      </c>
      <c r="F319" t="s">
        <v>27</v>
      </c>
      <c r="G319" t="s">
        <v>73</v>
      </c>
      <c r="H319" t="str">
        <f t="shared" si="18"/>
        <v>High</v>
      </c>
      <c r="I319">
        <v>2216</v>
      </c>
      <c r="J319">
        <v>441.31</v>
      </c>
      <c r="K319" s="3">
        <f t="shared" si="19"/>
        <v>0.19914711191335741</v>
      </c>
      <c r="L319">
        <v>8</v>
      </c>
      <c r="M319" t="s">
        <v>30</v>
      </c>
    </row>
    <row r="320" spans="1:13" x14ac:dyDescent="0.25">
      <c r="A320">
        <v>1319</v>
      </c>
      <c r="B320">
        <f t="shared" si="16"/>
        <v>2023</v>
      </c>
      <c r="C320" t="str">
        <f t="shared" si="17"/>
        <v>March</v>
      </c>
      <c r="D320" t="s">
        <v>129</v>
      </c>
      <c r="E320" t="s">
        <v>17</v>
      </c>
      <c r="F320" t="s">
        <v>20</v>
      </c>
      <c r="G320" t="s">
        <v>55</v>
      </c>
      <c r="H320" t="str">
        <f t="shared" si="18"/>
        <v>High</v>
      </c>
      <c r="I320">
        <v>2025</v>
      </c>
      <c r="J320">
        <v>519.9</v>
      </c>
      <c r="K320" s="3">
        <f t="shared" si="19"/>
        <v>0.25674074074074071</v>
      </c>
      <c r="L320">
        <v>5</v>
      </c>
      <c r="M320" t="s">
        <v>13</v>
      </c>
    </row>
    <row r="321" spans="1:13" x14ac:dyDescent="0.25">
      <c r="A321">
        <v>1320</v>
      </c>
      <c r="B321">
        <f t="shared" si="16"/>
        <v>2023</v>
      </c>
      <c r="C321" t="str">
        <f t="shared" si="17"/>
        <v>November</v>
      </c>
      <c r="D321" t="s">
        <v>16</v>
      </c>
      <c r="E321" t="s">
        <v>24</v>
      </c>
      <c r="F321" t="s">
        <v>27</v>
      </c>
      <c r="G321" t="s">
        <v>28</v>
      </c>
      <c r="H321" t="str">
        <f t="shared" si="18"/>
        <v>High</v>
      </c>
      <c r="I321">
        <v>1665</v>
      </c>
      <c r="J321">
        <v>270.54000000000002</v>
      </c>
      <c r="K321" s="3">
        <f t="shared" si="19"/>
        <v>0.1624864864864865</v>
      </c>
      <c r="L321">
        <v>3</v>
      </c>
      <c r="M321" t="s">
        <v>13</v>
      </c>
    </row>
    <row r="322" spans="1:13" x14ac:dyDescent="0.25">
      <c r="A322">
        <v>1321</v>
      </c>
      <c r="B322">
        <f t="shared" ref="B322:B385" si="20">YEAR(D322)</f>
        <v>2023</v>
      </c>
      <c r="C322" t="str">
        <f t="shared" ref="C322:C385" si="21">TEXT(D322,"mmmm")</f>
        <v>February</v>
      </c>
      <c r="D322" t="s">
        <v>113</v>
      </c>
      <c r="E322" t="s">
        <v>19</v>
      </c>
      <c r="F322" t="s">
        <v>11</v>
      </c>
      <c r="G322" t="s">
        <v>33</v>
      </c>
      <c r="H322" t="str">
        <f t="shared" ref="H322:H385" si="22">IF(I322&lt;=200,"Low",IF(I322&lt;=600,"Medium","High"))</f>
        <v>Medium</v>
      </c>
      <c r="I322">
        <v>264</v>
      </c>
      <c r="J322">
        <v>26.68</v>
      </c>
      <c r="K322" s="3">
        <f t="shared" ref="K322:K385" si="23">J322/I322</f>
        <v>0.10106060606060606</v>
      </c>
      <c r="L322">
        <v>2</v>
      </c>
      <c r="M322" t="s">
        <v>13</v>
      </c>
    </row>
    <row r="323" spans="1:13" x14ac:dyDescent="0.25">
      <c r="A323">
        <v>1322</v>
      </c>
      <c r="B323">
        <f t="shared" si="20"/>
        <v>2023</v>
      </c>
      <c r="C323" t="str">
        <f t="shared" si="21"/>
        <v>January</v>
      </c>
      <c r="D323" t="s">
        <v>244</v>
      </c>
      <c r="E323" t="s">
        <v>19</v>
      </c>
      <c r="F323" t="s">
        <v>11</v>
      </c>
      <c r="G323" t="s">
        <v>33</v>
      </c>
      <c r="H323" t="str">
        <f t="shared" si="22"/>
        <v>High</v>
      </c>
      <c r="I323">
        <v>1122</v>
      </c>
      <c r="J323">
        <v>129.80000000000001</v>
      </c>
      <c r="K323" s="3">
        <f t="shared" si="23"/>
        <v>0.11568627450980393</v>
      </c>
      <c r="L323">
        <v>6</v>
      </c>
      <c r="M323" t="s">
        <v>30</v>
      </c>
    </row>
    <row r="324" spans="1:13" x14ac:dyDescent="0.25">
      <c r="A324">
        <v>1323</v>
      </c>
      <c r="B324">
        <f t="shared" si="20"/>
        <v>2023</v>
      </c>
      <c r="C324" t="str">
        <f t="shared" si="21"/>
        <v>February</v>
      </c>
      <c r="D324" t="s">
        <v>173</v>
      </c>
      <c r="E324" t="s">
        <v>19</v>
      </c>
      <c r="F324" t="s">
        <v>20</v>
      </c>
      <c r="G324" t="s">
        <v>21</v>
      </c>
      <c r="H324" t="str">
        <f t="shared" si="22"/>
        <v>High</v>
      </c>
      <c r="I324">
        <v>1442</v>
      </c>
      <c r="J324">
        <v>168.75</v>
      </c>
      <c r="K324" s="3">
        <f t="shared" si="23"/>
        <v>0.1170249653259362</v>
      </c>
      <c r="L324">
        <v>2</v>
      </c>
      <c r="M324" t="s">
        <v>30</v>
      </c>
    </row>
    <row r="325" spans="1:13" x14ac:dyDescent="0.25">
      <c r="A325">
        <v>1324</v>
      </c>
      <c r="B325">
        <f t="shared" si="20"/>
        <v>2023</v>
      </c>
      <c r="C325" t="str">
        <f t="shared" si="21"/>
        <v>October</v>
      </c>
      <c r="D325" t="s">
        <v>62</v>
      </c>
      <c r="E325" t="s">
        <v>10</v>
      </c>
      <c r="F325" t="s">
        <v>20</v>
      </c>
      <c r="G325" t="s">
        <v>21</v>
      </c>
      <c r="H325" t="str">
        <f t="shared" si="22"/>
        <v>Medium</v>
      </c>
      <c r="I325">
        <v>416</v>
      </c>
      <c r="J325">
        <v>114.42</v>
      </c>
      <c r="K325" s="3">
        <f t="shared" si="23"/>
        <v>0.27504807692307692</v>
      </c>
      <c r="L325">
        <v>1</v>
      </c>
      <c r="M325" t="s">
        <v>13</v>
      </c>
    </row>
    <row r="326" spans="1:13" x14ac:dyDescent="0.25">
      <c r="A326">
        <v>1325</v>
      </c>
      <c r="B326">
        <f t="shared" si="20"/>
        <v>2023</v>
      </c>
      <c r="C326" t="str">
        <f t="shared" si="21"/>
        <v>December</v>
      </c>
      <c r="D326" t="s">
        <v>245</v>
      </c>
      <c r="E326" t="s">
        <v>19</v>
      </c>
      <c r="F326" t="s">
        <v>11</v>
      </c>
      <c r="G326" t="s">
        <v>33</v>
      </c>
      <c r="H326" t="str">
        <f t="shared" si="22"/>
        <v>Medium</v>
      </c>
      <c r="I326">
        <v>280</v>
      </c>
      <c r="J326">
        <v>32.979999999999997</v>
      </c>
      <c r="K326" s="3">
        <f t="shared" si="23"/>
        <v>0.11778571428571427</v>
      </c>
      <c r="L326">
        <v>8</v>
      </c>
      <c r="M326" t="s">
        <v>13</v>
      </c>
    </row>
    <row r="327" spans="1:13" x14ac:dyDescent="0.25">
      <c r="A327">
        <v>1326</v>
      </c>
      <c r="B327">
        <f t="shared" si="20"/>
        <v>2023</v>
      </c>
      <c r="C327" t="str">
        <f t="shared" si="21"/>
        <v>August</v>
      </c>
      <c r="D327" t="s">
        <v>90</v>
      </c>
      <c r="E327" t="s">
        <v>19</v>
      </c>
      <c r="F327" t="s">
        <v>20</v>
      </c>
      <c r="G327" t="s">
        <v>39</v>
      </c>
      <c r="H327" t="str">
        <f t="shared" si="22"/>
        <v>High</v>
      </c>
      <c r="I327">
        <v>2196</v>
      </c>
      <c r="J327">
        <v>557.89</v>
      </c>
      <c r="K327" s="3">
        <f t="shared" si="23"/>
        <v>0.25404826958105647</v>
      </c>
      <c r="L327">
        <v>6</v>
      </c>
      <c r="M327" t="s">
        <v>22</v>
      </c>
    </row>
    <row r="328" spans="1:13" x14ac:dyDescent="0.25">
      <c r="A328">
        <v>1327</v>
      </c>
      <c r="B328">
        <f t="shared" si="20"/>
        <v>2023</v>
      </c>
      <c r="C328" t="str">
        <f t="shared" si="21"/>
        <v>January</v>
      </c>
      <c r="D328" t="s">
        <v>163</v>
      </c>
      <c r="E328" t="s">
        <v>24</v>
      </c>
      <c r="F328" t="s">
        <v>20</v>
      </c>
      <c r="G328" t="s">
        <v>39</v>
      </c>
      <c r="H328" t="str">
        <f t="shared" si="22"/>
        <v>High</v>
      </c>
      <c r="I328">
        <v>2500</v>
      </c>
      <c r="J328">
        <v>543.92999999999995</v>
      </c>
      <c r="K328" s="3">
        <f t="shared" si="23"/>
        <v>0.21757199999999999</v>
      </c>
      <c r="L328">
        <v>5</v>
      </c>
      <c r="M328" t="s">
        <v>13</v>
      </c>
    </row>
    <row r="329" spans="1:13" x14ac:dyDescent="0.25">
      <c r="A329">
        <v>1328</v>
      </c>
      <c r="B329">
        <f t="shared" si="20"/>
        <v>2023</v>
      </c>
      <c r="C329" t="str">
        <f t="shared" si="21"/>
        <v>January</v>
      </c>
      <c r="D329" t="s">
        <v>117</v>
      </c>
      <c r="E329" t="s">
        <v>24</v>
      </c>
      <c r="F329" t="s">
        <v>11</v>
      </c>
      <c r="G329" t="s">
        <v>84</v>
      </c>
      <c r="H329" t="str">
        <f t="shared" si="22"/>
        <v>Low</v>
      </c>
      <c r="I329">
        <v>152</v>
      </c>
      <c r="J329">
        <v>22.05</v>
      </c>
      <c r="K329" s="3">
        <f t="shared" si="23"/>
        <v>0.1450657894736842</v>
      </c>
      <c r="L329">
        <v>4</v>
      </c>
      <c r="M329" t="s">
        <v>13</v>
      </c>
    </row>
    <row r="330" spans="1:13" x14ac:dyDescent="0.25">
      <c r="A330">
        <v>1329</v>
      </c>
      <c r="B330">
        <f t="shared" si="20"/>
        <v>2023</v>
      </c>
      <c r="C330" t="str">
        <f t="shared" si="21"/>
        <v>January</v>
      </c>
      <c r="D330" t="s">
        <v>246</v>
      </c>
      <c r="E330" t="s">
        <v>10</v>
      </c>
      <c r="F330" t="s">
        <v>11</v>
      </c>
      <c r="G330" t="s">
        <v>15</v>
      </c>
      <c r="H330" t="str">
        <f t="shared" si="22"/>
        <v>High</v>
      </c>
      <c r="I330">
        <v>654</v>
      </c>
      <c r="J330">
        <v>204.32</v>
      </c>
      <c r="K330" s="3">
        <f t="shared" si="23"/>
        <v>0.31241590214067277</v>
      </c>
      <c r="L330">
        <v>6</v>
      </c>
      <c r="M330" t="s">
        <v>13</v>
      </c>
    </row>
    <row r="331" spans="1:13" x14ac:dyDescent="0.25">
      <c r="A331">
        <v>1330</v>
      </c>
      <c r="B331">
        <f t="shared" si="20"/>
        <v>2023</v>
      </c>
      <c r="C331" t="str">
        <f t="shared" si="21"/>
        <v>December</v>
      </c>
      <c r="D331" t="s">
        <v>69</v>
      </c>
      <c r="E331" t="s">
        <v>24</v>
      </c>
      <c r="F331" t="s">
        <v>11</v>
      </c>
      <c r="G331" t="s">
        <v>84</v>
      </c>
      <c r="H331" t="str">
        <f t="shared" si="22"/>
        <v>Low</v>
      </c>
      <c r="I331">
        <v>42</v>
      </c>
      <c r="J331">
        <v>10.02</v>
      </c>
      <c r="K331" s="3">
        <f t="shared" si="23"/>
        <v>0.23857142857142857</v>
      </c>
      <c r="L331">
        <v>3</v>
      </c>
      <c r="M331" t="s">
        <v>13</v>
      </c>
    </row>
    <row r="332" spans="1:13" x14ac:dyDescent="0.25">
      <c r="A332">
        <v>1331</v>
      </c>
      <c r="B332">
        <f t="shared" si="20"/>
        <v>2023</v>
      </c>
      <c r="C332" t="str">
        <f t="shared" si="21"/>
        <v>January</v>
      </c>
      <c r="D332" t="s">
        <v>247</v>
      </c>
      <c r="E332" t="s">
        <v>17</v>
      </c>
      <c r="F332" t="s">
        <v>20</v>
      </c>
      <c r="G332" t="s">
        <v>25</v>
      </c>
      <c r="H332" t="str">
        <f t="shared" si="22"/>
        <v>High</v>
      </c>
      <c r="I332">
        <v>7819</v>
      </c>
      <c r="J332">
        <v>2129.9699999999998</v>
      </c>
      <c r="K332" s="3">
        <f t="shared" si="23"/>
        <v>0.27240951528328428</v>
      </c>
      <c r="L332">
        <v>7</v>
      </c>
      <c r="M332" t="s">
        <v>30</v>
      </c>
    </row>
    <row r="333" spans="1:13" x14ac:dyDescent="0.25">
      <c r="A333">
        <v>1332</v>
      </c>
      <c r="B333">
        <f t="shared" si="20"/>
        <v>2023</v>
      </c>
      <c r="C333" t="str">
        <f t="shared" si="21"/>
        <v>November</v>
      </c>
      <c r="D333" t="s">
        <v>151</v>
      </c>
      <c r="E333" t="s">
        <v>19</v>
      </c>
      <c r="F333" t="s">
        <v>27</v>
      </c>
      <c r="G333" t="s">
        <v>95</v>
      </c>
      <c r="H333" t="str">
        <f t="shared" si="22"/>
        <v>High</v>
      </c>
      <c r="I333">
        <v>7020</v>
      </c>
      <c r="J333">
        <v>1087.51</v>
      </c>
      <c r="K333" s="3">
        <f t="shared" si="23"/>
        <v>0.1549159544159544</v>
      </c>
      <c r="L333">
        <v>9</v>
      </c>
      <c r="M333" t="s">
        <v>30</v>
      </c>
    </row>
    <row r="334" spans="1:13" x14ac:dyDescent="0.25">
      <c r="A334">
        <v>1333</v>
      </c>
      <c r="B334">
        <f t="shared" si="20"/>
        <v>2023</v>
      </c>
      <c r="C334" t="str">
        <f t="shared" si="21"/>
        <v>October</v>
      </c>
      <c r="D334" t="s">
        <v>104</v>
      </c>
      <c r="E334" t="s">
        <v>17</v>
      </c>
      <c r="F334" t="s">
        <v>27</v>
      </c>
      <c r="G334" t="s">
        <v>28</v>
      </c>
      <c r="H334" t="str">
        <f t="shared" si="22"/>
        <v>High</v>
      </c>
      <c r="I334">
        <v>4500</v>
      </c>
      <c r="J334">
        <v>1287.32</v>
      </c>
      <c r="K334" s="3">
        <f t="shared" si="23"/>
        <v>0.28607111111111111</v>
      </c>
      <c r="L334">
        <v>6</v>
      </c>
      <c r="M334" t="s">
        <v>30</v>
      </c>
    </row>
    <row r="335" spans="1:13" x14ac:dyDescent="0.25">
      <c r="A335">
        <v>1334</v>
      </c>
      <c r="B335">
        <f t="shared" si="20"/>
        <v>2023</v>
      </c>
      <c r="C335" t="str">
        <f t="shared" si="21"/>
        <v>August</v>
      </c>
      <c r="D335" t="s">
        <v>172</v>
      </c>
      <c r="E335" t="s">
        <v>24</v>
      </c>
      <c r="F335" t="s">
        <v>11</v>
      </c>
      <c r="G335" t="s">
        <v>12</v>
      </c>
      <c r="H335" t="str">
        <f t="shared" si="22"/>
        <v>Low</v>
      </c>
      <c r="I335">
        <v>128</v>
      </c>
      <c r="J335">
        <v>42.2</v>
      </c>
      <c r="K335" s="3">
        <f t="shared" si="23"/>
        <v>0.32968750000000002</v>
      </c>
      <c r="L335">
        <v>4</v>
      </c>
      <c r="M335" t="s">
        <v>13</v>
      </c>
    </row>
    <row r="336" spans="1:13" x14ac:dyDescent="0.25">
      <c r="A336">
        <v>1335</v>
      </c>
      <c r="B336">
        <f t="shared" si="20"/>
        <v>2023</v>
      </c>
      <c r="C336" t="str">
        <f t="shared" si="21"/>
        <v>December</v>
      </c>
      <c r="D336" t="s">
        <v>83</v>
      </c>
      <c r="E336" t="s">
        <v>10</v>
      </c>
      <c r="F336" t="s">
        <v>20</v>
      </c>
      <c r="G336" t="s">
        <v>55</v>
      </c>
      <c r="H336" t="str">
        <f t="shared" si="22"/>
        <v>High</v>
      </c>
      <c r="I336">
        <v>972</v>
      </c>
      <c r="J336">
        <v>113.77</v>
      </c>
      <c r="K336" s="3">
        <f t="shared" si="23"/>
        <v>0.11704732510288066</v>
      </c>
      <c r="L336">
        <v>3</v>
      </c>
      <c r="M336" t="s">
        <v>22</v>
      </c>
    </row>
    <row r="337" spans="1:13" x14ac:dyDescent="0.25">
      <c r="A337">
        <v>1336</v>
      </c>
      <c r="B337">
        <f t="shared" si="20"/>
        <v>2023</v>
      </c>
      <c r="C337" t="str">
        <f t="shared" si="21"/>
        <v>September</v>
      </c>
      <c r="D337" t="s">
        <v>98</v>
      </c>
      <c r="E337" t="s">
        <v>19</v>
      </c>
      <c r="F337" t="s">
        <v>20</v>
      </c>
      <c r="G337" t="s">
        <v>21</v>
      </c>
      <c r="H337" t="str">
        <f t="shared" si="22"/>
        <v>High</v>
      </c>
      <c r="I337">
        <v>5490</v>
      </c>
      <c r="J337">
        <v>627.35</v>
      </c>
      <c r="K337" s="3">
        <f t="shared" si="23"/>
        <v>0.11427140255009108</v>
      </c>
      <c r="L337">
        <v>9</v>
      </c>
      <c r="M337" t="s">
        <v>22</v>
      </c>
    </row>
    <row r="338" spans="1:13" x14ac:dyDescent="0.25">
      <c r="A338">
        <v>1337</v>
      </c>
      <c r="B338">
        <f t="shared" si="20"/>
        <v>2023</v>
      </c>
      <c r="C338" t="str">
        <f t="shared" si="21"/>
        <v>August</v>
      </c>
      <c r="D338" t="s">
        <v>90</v>
      </c>
      <c r="E338" t="s">
        <v>10</v>
      </c>
      <c r="F338" t="s">
        <v>27</v>
      </c>
      <c r="G338" t="s">
        <v>28</v>
      </c>
      <c r="H338" t="str">
        <f t="shared" si="22"/>
        <v>High</v>
      </c>
      <c r="I338">
        <v>1075</v>
      </c>
      <c r="J338">
        <v>292.75</v>
      </c>
      <c r="K338" s="3">
        <f t="shared" si="23"/>
        <v>0.27232558139534885</v>
      </c>
      <c r="L338">
        <v>5</v>
      </c>
      <c r="M338" t="s">
        <v>22</v>
      </c>
    </row>
    <row r="339" spans="1:13" x14ac:dyDescent="0.25">
      <c r="A339">
        <v>1338</v>
      </c>
      <c r="B339">
        <f t="shared" si="20"/>
        <v>2023</v>
      </c>
      <c r="C339" t="str">
        <f t="shared" si="21"/>
        <v>September</v>
      </c>
      <c r="D339" t="s">
        <v>248</v>
      </c>
      <c r="E339" t="s">
        <v>19</v>
      </c>
      <c r="F339" t="s">
        <v>11</v>
      </c>
      <c r="G339" t="s">
        <v>12</v>
      </c>
      <c r="H339" t="str">
        <f t="shared" si="22"/>
        <v>High</v>
      </c>
      <c r="I339">
        <v>930</v>
      </c>
      <c r="J339">
        <v>116.3</v>
      </c>
      <c r="K339" s="3">
        <f t="shared" si="23"/>
        <v>0.12505376344086022</v>
      </c>
      <c r="L339">
        <v>6</v>
      </c>
      <c r="M339" t="s">
        <v>22</v>
      </c>
    </row>
    <row r="340" spans="1:13" x14ac:dyDescent="0.25">
      <c r="A340">
        <v>1339</v>
      </c>
      <c r="B340">
        <f t="shared" si="20"/>
        <v>2023</v>
      </c>
      <c r="C340" t="str">
        <f t="shared" si="21"/>
        <v>December</v>
      </c>
      <c r="D340" t="s">
        <v>249</v>
      </c>
      <c r="E340" t="s">
        <v>10</v>
      </c>
      <c r="F340" t="s">
        <v>20</v>
      </c>
      <c r="G340" t="s">
        <v>25</v>
      </c>
      <c r="H340" t="str">
        <f t="shared" si="22"/>
        <v>High</v>
      </c>
      <c r="I340">
        <v>1094</v>
      </c>
      <c r="J340">
        <v>100.53</v>
      </c>
      <c r="K340" s="3">
        <f t="shared" si="23"/>
        <v>9.1892138939670936E-2</v>
      </c>
      <c r="L340">
        <v>2</v>
      </c>
      <c r="M340" t="s">
        <v>13</v>
      </c>
    </row>
    <row r="341" spans="1:13" x14ac:dyDescent="0.25">
      <c r="A341">
        <v>1340</v>
      </c>
      <c r="B341">
        <f t="shared" si="20"/>
        <v>2023</v>
      </c>
      <c r="C341" t="str">
        <f t="shared" si="21"/>
        <v>July</v>
      </c>
      <c r="D341" t="s">
        <v>250</v>
      </c>
      <c r="E341" t="s">
        <v>10</v>
      </c>
      <c r="F341" t="s">
        <v>20</v>
      </c>
      <c r="G341" t="s">
        <v>21</v>
      </c>
      <c r="H341" t="str">
        <f t="shared" si="22"/>
        <v>High</v>
      </c>
      <c r="I341">
        <v>2709</v>
      </c>
      <c r="J341">
        <v>621.1</v>
      </c>
      <c r="K341" s="3">
        <f t="shared" si="23"/>
        <v>0.22927279438907347</v>
      </c>
      <c r="L341">
        <v>7</v>
      </c>
      <c r="M341" t="s">
        <v>22</v>
      </c>
    </row>
    <row r="342" spans="1:13" x14ac:dyDescent="0.25">
      <c r="A342">
        <v>1341</v>
      </c>
      <c r="B342">
        <f t="shared" si="20"/>
        <v>2023</v>
      </c>
      <c r="C342" t="str">
        <f t="shared" si="21"/>
        <v>May</v>
      </c>
      <c r="D342" t="s">
        <v>251</v>
      </c>
      <c r="E342" t="s">
        <v>17</v>
      </c>
      <c r="F342" t="s">
        <v>11</v>
      </c>
      <c r="G342" t="s">
        <v>84</v>
      </c>
      <c r="H342" t="str">
        <f t="shared" si="22"/>
        <v>Medium</v>
      </c>
      <c r="I342">
        <v>203</v>
      </c>
      <c r="J342">
        <v>47.57</v>
      </c>
      <c r="K342" s="3">
        <f t="shared" si="23"/>
        <v>0.23433497536945813</v>
      </c>
      <c r="L342">
        <v>7</v>
      </c>
      <c r="M342" t="s">
        <v>22</v>
      </c>
    </row>
    <row r="343" spans="1:13" x14ac:dyDescent="0.25">
      <c r="A343">
        <v>1342</v>
      </c>
      <c r="B343">
        <f t="shared" si="20"/>
        <v>2023</v>
      </c>
      <c r="C343" t="str">
        <f t="shared" si="21"/>
        <v>April</v>
      </c>
      <c r="D343" t="s">
        <v>72</v>
      </c>
      <c r="E343" t="s">
        <v>10</v>
      </c>
      <c r="F343" t="s">
        <v>20</v>
      </c>
      <c r="G343" t="s">
        <v>39</v>
      </c>
      <c r="H343" t="str">
        <f t="shared" si="22"/>
        <v>High</v>
      </c>
      <c r="I343">
        <v>1566</v>
      </c>
      <c r="J343">
        <v>496.09</v>
      </c>
      <c r="K343" s="3">
        <f t="shared" si="23"/>
        <v>0.31678799489144316</v>
      </c>
      <c r="L343">
        <v>9</v>
      </c>
      <c r="M343" t="s">
        <v>30</v>
      </c>
    </row>
    <row r="344" spans="1:13" x14ac:dyDescent="0.25">
      <c r="A344">
        <v>1343</v>
      </c>
      <c r="B344">
        <f t="shared" si="20"/>
        <v>2023</v>
      </c>
      <c r="C344" t="str">
        <f t="shared" si="21"/>
        <v>October</v>
      </c>
      <c r="D344" t="s">
        <v>64</v>
      </c>
      <c r="E344" t="s">
        <v>24</v>
      </c>
      <c r="F344" t="s">
        <v>27</v>
      </c>
      <c r="G344" t="s">
        <v>73</v>
      </c>
      <c r="H344" t="str">
        <f t="shared" si="22"/>
        <v>High</v>
      </c>
      <c r="I344">
        <v>4216</v>
      </c>
      <c r="J344">
        <v>669.21</v>
      </c>
      <c r="K344" s="3">
        <f t="shared" si="23"/>
        <v>0.15873102466793171</v>
      </c>
      <c r="L344">
        <v>8</v>
      </c>
      <c r="M344" t="s">
        <v>30</v>
      </c>
    </row>
    <row r="345" spans="1:13" x14ac:dyDescent="0.25">
      <c r="A345">
        <v>1344</v>
      </c>
      <c r="B345">
        <f t="shared" si="20"/>
        <v>2023</v>
      </c>
      <c r="C345" t="str">
        <f t="shared" si="21"/>
        <v>October</v>
      </c>
      <c r="D345" t="s">
        <v>235</v>
      </c>
      <c r="E345" t="s">
        <v>19</v>
      </c>
      <c r="F345" t="s">
        <v>27</v>
      </c>
      <c r="G345" t="s">
        <v>36</v>
      </c>
      <c r="H345" t="str">
        <f t="shared" si="22"/>
        <v>High</v>
      </c>
      <c r="I345">
        <v>7200</v>
      </c>
      <c r="J345">
        <v>2054.38</v>
      </c>
      <c r="K345" s="3">
        <f t="shared" si="23"/>
        <v>0.28533055555555559</v>
      </c>
      <c r="L345">
        <v>8</v>
      </c>
      <c r="M345" t="s">
        <v>22</v>
      </c>
    </row>
    <row r="346" spans="1:13" x14ac:dyDescent="0.25">
      <c r="A346">
        <v>1345</v>
      </c>
      <c r="B346">
        <f t="shared" si="20"/>
        <v>2023</v>
      </c>
      <c r="C346" t="str">
        <f t="shared" si="21"/>
        <v>January</v>
      </c>
      <c r="D346" t="s">
        <v>252</v>
      </c>
      <c r="E346" t="s">
        <v>10</v>
      </c>
      <c r="F346" t="s">
        <v>20</v>
      </c>
      <c r="G346" t="s">
        <v>21</v>
      </c>
      <c r="H346" t="str">
        <f t="shared" si="22"/>
        <v>High</v>
      </c>
      <c r="I346">
        <v>4756</v>
      </c>
      <c r="J346">
        <v>1458.59</v>
      </c>
      <c r="K346" s="3">
        <f t="shared" si="23"/>
        <v>0.30668418839360806</v>
      </c>
      <c r="L346">
        <v>4</v>
      </c>
      <c r="M346" t="s">
        <v>22</v>
      </c>
    </row>
    <row r="347" spans="1:13" x14ac:dyDescent="0.25">
      <c r="A347">
        <v>1346</v>
      </c>
      <c r="B347">
        <f t="shared" si="20"/>
        <v>2023</v>
      </c>
      <c r="C347" t="str">
        <f t="shared" si="21"/>
        <v>July</v>
      </c>
      <c r="D347" t="s">
        <v>253</v>
      </c>
      <c r="E347" t="s">
        <v>10</v>
      </c>
      <c r="F347" t="s">
        <v>20</v>
      </c>
      <c r="G347" t="s">
        <v>25</v>
      </c>
      <c r="H347" t="str">
        <f t="shared" si="22"/>
        <v>High</v>
      </c>
      <c r="I347">
        <v>1460</v>
      </c>
      <c r="J347">
        <v>504.34</v>
      </c>
      <c r="K347" s="3">
        <f t="shared" si="23"/>
        <v>0.34543835616438356</v>
      </c>
      <c r="L347">
        <v>5</v>
      </c>
      <c r="M347" t="s">
        <v>13</v>
      </c>
    </row>
    <row r="348" spans="1:13" x14ac:dyDescent="0.25">
      <c r="A348">
        <v>1347</v>
      </c>
      <c r="B348">
        <f t="shared" si="20"/>
        <v>2023</v>
      </c>
      <c r="C348" t="str">
        <f t="shared" si="21"/>
        <v>December</v>
      </c>
      <c r="D348" t="s">
        <v>254</v>
      </c>
      <c r="E348" t="s">
        <v>10</v>
      </c>
      <c r="F348" t="s">
        <v>27</v>
      </c>
      <c r="G348" t="s">
        <v>95</v>
      </c>
      <c r="H348" t="str">
        <f t="shared" si="22"/>
        <v>High</v>
      </c>
      <c r="I348">
        <v>970</v>
      </c>
      <c r="J348">
        <v>312.60000000000002</v>
      </c>
      <c r="K348" s="3">
        <f t="shared" si="23"/>
        <v>0.32226804123711345</v>
      </c>
      <c r="L348">
        <v>5</v>
      </c>
      <c r="M348" t="s">
        <v>30</v>
      </c>
    </row>
    <row r="349" spans="1:13" x14ac:dyDescent="0.25">
      <c r="A349">
        <v>1348</v>
      </c>
      <c r="B349">
        <f t="shared" si="20"/>
        <v>2023</v>
      </c>
      <c r="C349" t="str">
        <f t="shared" si="21"/>
        <v>February</v>
      </c>
      <c r="D349" t="s">
        <v>154</v>
      </c>
      <c r="E349" t="s">
        <v>24</v>
      </c>
      <c r="F349" t="s">
        <v>11</v>
      </c>
      <c r="G349" t="s">
        <v>84</v>
      </c>
      <c r="H349" t="str">
        <f t="shared" si="22"/>
        <v>Medium</v>
      </c>
      <c r="I349">
        <v>440</v>
      </c>
      <c r="J349">
        <v>110.9</v>
      </c>
      <c r="K349" s="3">
        <f t="shared" si="23"/>
        <v>0.25204545454545457</v>
      </c>
      <c r="L349">
        <v>10</v>
      </c>
      <c r="M349" t="s">
        <v>22</v>
      </c>
    </row>
    <row r="350" spans="1:13" x14ac:dyDescent="0.25">
      <c r="A350">
        <v>1349</v>
      </c>
      <c r="B350">
        <f t="shared" si="20"/>
        <v>2023</v>
      </c>
      <c r="C350" t="str">
        <f t="shared" si="21"/>
        <v>December</v>
      </c>
      <c r="D350" t="s">
        <v>102</v>
      </c>
      <c r="E350" t="s">
        <v>10</v>
      </c>
      <c r="F350" t="s">
        <v>27</v>
      </c>
      <c r="G350" t="s">
        <v>28</v>
      </c>
      <c r="H350" t="str">
        <f t="shared" si="22"/>
        <v>High</v>
      </c>
      <c r="I350">
        <v>1344</v>
      </c>
      <c r="J350">
        <v>416.3</v>
      </c>
      <c r="K350" s="3">
        <f t="shared" si="23"/>
        <v>0.30974702380952379</v>
      </c>
      <c r="L350">
        <v>3</v>
      </c>
      <c r="M350" t="s">
        <v>22</v>
      </c>
    </row>
    <row r="351" spans="1:13" x14ac:dyDescent="0.25">
      <c r="A351">
        <v>1350</v>
      </c>
      <c r="B351">
        <f t="shared" si="20"/>
        <v>2023</v>
      </c>
      <c r="C351" t="str">
        <f t="shared" si="21"/>
        <v>May</v>
      </c>
      <c r="D351" t="s">
        <v>255</v>
      </c>
      <c r="E351" t="s">
        <v>24</v>
      </c>
      <c r="F351" t="s">
        <v>27</v>
      </c>
      <c r="G351" t="s">
        <v>73</v>
      </c>
      <c r="H351" t="str">
        <f t="shared" si="22"/>
        <v>High</v>
      </c>
      <c r="I351">
        <v>1428</v>
      </c>
      <c r="J351">
        <v>414.95</v>
      </c>
      <c r="K351" s="3">
        <f t="shared" si="23"/>
        <v>0.29058123249299717</v>
      </c>
      <c r="L351">
        <v>4</v>
      </c>
      <c r="M351" t="s">
        <v>22</v>
      </c>
    </row>
    <row r="352" spans="1:13" x14ac:dyDescent="0.25">
      <c r="A352">
        <v>1351</v>
      </c>
      <c r="B352">
        <f t="shared" si="20"/>
        <v>2023</v>
      </c>
      <c r="C352" t="str">
        <f t="shared" si="21"/>
        <v>March</v>
      </c>
      <c r="D352" t="s">
        <v>256</v>
      </c>
      <c r="E352" t="s">
        <v>17</v>
      </c>
      <c r="F352" t="s">
        <v>11</v>
      </c>
      <c r="G352" t="s">
        <v>12</v>
      </c>
      <c r="H352" t="str">
        <f t="shared" si="22"/>
        <v>High</v>
      </c>
      <c r="I352">
        <v>912</v>
      </c>
      <c r="J352">
        <v>102.69</v>
      </c>
      <c r="K352" s="3">
        <f t="shared" si="23"/>
        <v>0.11259868421052631</v>
      </c>
      <c r="L352">
        <v>8</v>
      </c>
      <c r="M352" t="s">
        <v>30</v>
      </c>
    </row>
    <row r="353" spans="1:13" x14ac:dyDescent="0.25">
      <c r="A353">
        <v>1352</v>
      </c>
      <c r="B353">
        <f t="shared" si="20"/>
        <v>2023</v>
      </c>
      <c r="C353" t="str">
        <f t="shared" si="21"/>
        <v>August</v>
      </c>
      <c r="D353" t="s">
        <v>206</v>
      </c>
      <c r="E353" t="s">
        <v>19</v>
      </c>
      <c r="F353" t="s">
        <v>27</v>
      </c>
      <c r="G353" t="s">
        <v>36</v>
      </c>
      <c r="H353" t="str">
        <f t="shared" si="22"/>
        <v>High</v>
      </c>
      <c r="I353">
        <v>1210</v>
      </c>
      <c r="J353">
        <v>360.64</v>
      </c>
      <c r="K353" s="3">
        <f t="shared" si="23"/>
        <v>0.2980495867768595</v>
      </c>
      <c r="L353">
        <v>5</v>
      </c>
      <c r="M353" t="s">
        <v>22</v>
      </c>
    </row>
    <row r="354" spans="1:13" x14ac:dyDescent="0.25">
      <c r="A354">
        <v>1353</v>
      </c>
      <c r="B354">
        <f t="shared" si="20"/>
        <v>2023</v>
      </c>
      <c r="C354" t="str">
        <f t="shared" si="21"/>
        <v>March</v>
      </c>
      <c r="D354" t="s">
        <v>257</v>
      </c>
      <c r="E354" t="s">
        <v>17</v>
      </c>
      <c r="F354" t="s">
        <v>27</v>
      </c>
      <c r="G354" t="s">
        <v>28</v>
      </c>
      <c r="H354" t="str">
        <f t="shared" si="22"/>
        <v>High</v>
      </c>
      <c r="I354">
        <v>1028</v>
      </c>
      <c r="J354">
        <v>224.76</v>
      </c>
      <c r="K354" s="3">
        <f t="shared" si="23"/>
        <v>0.21863813229571982</v>
      </c>
      <c r="L354">
        <v>2</v>
      </c>
      <c r="M354" t="s">
        <v>22</v>
      </c>
    </row>
    <row r="355" spans="1:13" x14ac:dyDescent="0.25">
      <c r="A355">
        <v>1354</v>
      </c>
      <c r="B355">
        <f t="shared" si="20"/>
        <v>2023</v>
      </c>
      <c r="C355" t="str">
        <f t="shared" si="21"/>
        <v>January</v>
      </c>
      <c r="D355" t="s">
        <v>258</v>
      </c>
      <c r="E355" t="s">
        <v>24</v>
      </c>
      <c r="F355" t="s">
        <v>11</v>
      </c>
      <c r="G355" t="s">
        <v>44</v>
      </c>
      <c r="H355" t="str">
        <f t="shared" si="22"/>
        <v>High</v>
      </c>
      <c r="I355">
        <v>1050</v>
      </c>
      <c r="J355">
        <v>154.83000000000001</v>
      </c>
      <c r="K355" s="3">
        <f t="shared" si="23"/>
        <v>0.14745714285714287</v>
      </c>
      <c r="L355">
        <v>7</v>
      </c>
      <c r="M355" t="s">
        <v>30</v>
      </c>
    </row>
    <row r="356" spans="1:13" x14ac:dyDescent="0.25">
      <c r="A356">
        <v>1355</v>
      </c>
      <c r="B356">
        <f t="shared" si="20"/>
        <v>2023</v>
      </c>
      <c r="C356" t="str">
        <f t="shared" si="21"/>
        <v>January</v>
      </c>
      <c r="D356" t="s">
        <v>246</v>
      </c>
      <c r="E356" t="s">
        <v>17</v>
      </c>
      <c r="F356" t="s">
        <v>27</v>
      </c>
      <c r="G356" t="s">
        <v>28</v>
      </c>
      <c r="H356" t="str">
        <f t="shared" si="22"/>
        <v>Medium</v>
      </c>
      <c r="I356">
        <v>283</v>
      </c>
      <c r="J356">
        <v>85.58</v>
      </c>
      <c r="K356" s="3">
        <f t="shared" si="23"/>
        <v>0.30240282685512365</v>
      </c>
      <c r="L356">
        <v>1</v>
      </c>
      <c r="M356" t="s">
        <v>30</v>
      </c>
    </row>
    <row r="357" spans="1:13" x14ac:dyDescent="0.25">
      <c r="A357">
        <v>1356</v>
      </c>
      <c r="B357">
        <f t="shared" si="20"/>
        <v>2023</v>
      </c>
      <c r="C357" t="str">
        <f t="shared" si="21"/>
        <v>January</v>
      </c>
      <c r="D357" t="s">
        <v>259</v>
      </c>
      <c r="E357" t="s">
        <v>24</v>
      </c>
      <c r="F357" t="s">
        <v>27</v>
      </c>
      <c r="G357" t="s">
        <v>28</v>
      </c>
      <c r="H357" t="str">
        <f t="shared" si="22"/>
        <v>High</v>
      </c>
      <c r="I357">
        <v>1622</v>
      </c>
      <c r="J357">
        <v>484.18</v>
      </c>
      <c r="K357" s="3">
        <f t="shared" si="23"/>
        <v>0.29850801479654748</v>
      </c>
      <c r="L357">
        <v>2</v>
      </c>
      <c r="M357" t="s">
        <v>30</v>
      </c>
    </row>
    <row r="358" spans="1:13" x14ac:dyDescent="0.25">
      <c r="A358">
        <v>1357</v>
      </c>
      <c r="B358">
        <f t="shared" si="20"/>
        <v>2023</v>
      </c>
      <c r="C358" t="str">
        <f t="shared" si="21"/>
        <v>August</v>
      </c>
      <c r="D358" t="s">
        <v>54</v>
      </c>
      <c r="E358" t="s">
        <v>10</v>
      </c>
      <c r="F358" t="s">
        <v>20</v>
      </c>
      <c r="G358" t="s">
        <v>25</v>
      </c>
      <c r="H358" t="str">
        <f t="shared" si="22"/>
        <v>Medium</v>
      </c>
      <c r="I358">
        <v>424</v>
      </c>
      <c r="J358">
        <v>127.99</v>
      </c>
      <c r="K358" s="3">
        <f t="shared" si="23"/>
        <v>0.30186320754716978</v>
      </c>
      <c r="L358">
        <v>1</v>
      </c>
      <c r="M358" t="s">
        <v>30</v>
      </c>
    </row>
    <row r="359" spans="1:13" x14ac:dyDescent="0.25">
      <c r="A359">
        <v>1358</v>
      </c>
      <c r="B359">
        <f t="shared" si="20"/>
        <v>2023</v>
      </c>
      <c r="C359" t="str">
        <f t="shared" si="21"/>
        <v>December</v>
      </c>
      <c r="D359" t="s">
        <v>69</v>
      </c>
      <c r="E359" t="s">
        <v>10</v>
      </c>
      <c r="F359" t="s">
        <v>27</v>
      </c>
      <c r="G359" t="s">
        <v>95</v>
      </c>
      <c r="H359" t="str">
        <f t="shared" si="22"/>
        <v>High</v>
      </c>
      <c r="I359">
        <v>3584</v>
      </c>
      <c r="J359">
        <v>1165.67</v>
      </c>
      <c r="K359" s="3">
        <f t="shared" si="23"/>
        <v>0.32524274553571431</v>
      </c>
      <c r="L359">
        <v>7</v>
      </c>
      <c r="M359" t="s">
        <v>22</v>
      </c>
    </row>
    <row r="360" spans="1:13" x14ac:dyDescent="0.25">
      <c r="A360">
        <v>1359</v>
      </c>
      <c r="B360">
        <f t="shared" si="20"/>
        <v>2023</v>
      </c>
      <c r="C360" t="str">
        <f t="shared" si="21"/>
        <v>January</v>
      </c>
      <c r="D360" t="s">
        <v>260</v>
      </c>
      <c r="E360" t="s">
        <v>19</v>
      </c>
      <c r="F360" t="s">
        <v>27</v>
      </c>
      <c r="G360" t="s">
        <v>73</v>
      </c>
      <c r="H360" t="str">
        <f t="shared" si="22"/>
        <v>High</v>
      </c>
      <c r="I360">
        <v>8120</v>
      </c>
      <c r="J360">
        <v>1743.37</v>
      </c>
      <c r="K360" s="3">
        <f t="shared" si="23"/>
        <v>0.21470073891625616</v>
      </c>
      <c r="L360">
        <v>10</v>
      </c>
      <c r="M360" t="s">
        <v>30</v>
      </c>
    </row>
    <row r="361" spans="1:13" x14ac:dyDescent="0.25">
      <c r="A361">
        <v>1360</v>
      </c>
      <c r="B361">
        <f t="shared" si="20"/>
        <v>2023</v>
      </c>
      <c r="C361" t="str">
        <f t="shared" si="21"/>
        <v>May</v>
      </c>
      <c r="D361" t="s">
        <v>261</v>
      </c>
      <c r="E361" t="s">
        <v>10</v>
      </c>
      <c r="F361" t="s">
        <v>11</v>
      </c>
      <c r="G361" t="s">
        <v>84</v>
      </c>
      <c r="H361" t="str">
        <f t="shared" si="22"/>
        <v>Medium</v>
      </c>
      <c r="I361">
        <v>427</v>
      </c>
      <c r="J361">
        <v>108.25</v>
      </c>
      <c r="K361" s="3">
        <f t="shared" si="23"/>
        <v>0.25351288056206089</v>
      </c>
      <c r="L361">
        <v>7</v>
      </c>
      <c r="M361" t="s">
        <v>30</v>
      </c>
    </row>
    <row r="362" spans="1:13" x14ac:dyDescent="0.25">
      <c r="A362">
        <v>1361</v>
      </c>
      <c r="B362">
        <f t="shared" si="20"/>
        <v>2023</v>
      </c>
      <c r="C362" t="str">
        <f t="shared" si="21"/>
        <v>July</v>
      </c>
      <c r="D362" t="s">
        <v>127</v>
      </c>
      <c r="E362" t="s">
        <v>10</v>
      </c>
      <c r="F362" t="s">
        <v>11</v>
      </c>
      <c r="G362" t="s">
        <v>33</v>
      </c>
      <c r="H362" t="str">
        <f t="shared" si="22"/>
        <v>High</v>
      </c>
      <c r="I362">
        <v>784</v>
      </c>
      <c r="J362">
        <v>255.92</v>
      </c>
      <c r="K362" s="3">
        <f t="shared" si="23"/>
        <v>0.3264285714285714</v>
      </c>
      <c r="L362">
        <v>8</v>
      </c>
      <c r="M362" t="s">
        <v>22</v>
      </c>
    </row>
    <row r="363" spans="1:13" x14ac:dyDescent="0.25">
      <c r="A363">
        <v>1362</v>
      </c>
      <c r="B363">
        <f t="shared" si="20"/>
        <v>2023</v>
      </c>
      <c r="C363" t="str">
        <f t="shared" si="21"/>
        <v>April</v>
      </c>
      <c r="D363" t="s">
        <v>114</v>
      </c>
      <c r="E363" t="s">
        <v>19</v>
      </c>
      <c r="F363" t="s">
        <v>11</v>
      </c>
      <c r="G363" t="s">
        <v>44</v>
      </c>
      <c r="H363" t="str">
        <f t="shared" si="22"/>
        <v>Low</v>
      </c>
      <c r="I363">
        <v>66</v>
      </c>
      <c r="J363">
        <v>5.8</v>
      </c>
      <c r="K363" s="3">
        <f t="shared" si="23"/>
        <v>8.7878787878787876E-2</v>
      </c>
      <c r="L363">
        <v>1</v>
      </c>
      <c r="M363" t="s">
        <v>22</v>
      </c>
    </row>
    <row r="364" spans="1:13" x14ac:dyDescent="0.25">
      <c r="A364">
        <v>1363</v>
      </c>
      <c r="B364">
        <f t="shared" si="20"/>
        <v>2023</v>
      </c>
      <c r="C364" t="str">
        <f t="shared" si="21"/>
        <v>July</v>
      </c>
      <c r="D364" t="s">
        <v>127</v>
      </c>
      <c r="E364" t="s">
        <v>19</v>
      </c>
      <c r="F364" t="s">
        <v>27</v>
      </c>
      <c r="G364" t="s">
        <v>28</v>
      </c>
      <c r="H364" t="str">
        <f t="shared" si="22"/>
        <v>High</v>
      </c>
      <c r="I364">
        <v>3130</v>
      </c>
      <c r="J364">
        <v>459.86</v>
      </c>
      <c r="K364" s="3">
        <f t="shared" si="23"/>
        <v>0.14692012779552716</v>
      </c>
      <c r="L364">
        <v>10</v>
      </c>
      <c r="M364" t="s">
        <v>13</v>
      </c>
    </row>
    <row r="365" spans="1:13" x14ac:dyDescent="0.25">
      <c r="A365">
        <v>1364</v>
      </c>
      <c r="B365">
        <f t="shared" si="20"/>
        <v>2023</v>
      </c>
      <c r="C365" t="str">
        <f t="shared" si="21"/>
        <v>October</v>
      </c>
      <c r="D365" t="s">
        <v>262</v>
      </c>
      <c r="E365" t="s">
        <v>10</v>
      </c>
      <c r="F365" t="s">
        <v>20</v>
      </c>
      <c r="G365" t="s">
        <v>25</v>
      </c>
      <c r="H365" t="str">
        <f t="shared" si="22"/>
        <v>High</v>
      </c>
      <c r="I365">
        <v>5642</v>
      </c>
      <c r="J365">
        <v>811.71</v>
      </c>
      <c r="K365" s="3">
        <f t="shared" si="23"/>
        <v>0.14386919532080822</v>
      </c>
      <c r="L365">
        <v>7</v>
      </c>
      <c r="M365" t="s">
        <v>30</v>
      </c>
    </row>
    <row r="366" spans="1:13" x14ac:dyDescent="0.25">
      <c r="A366">
        <v>1365</v>
      </c>
      <c r="B366">
        <f t="shared" si="20"/>
        <v>2023</v>
      </c>
      <c r="C366" t="str">
        <f t="shared" si="21"/>
        <v>December</v>
      </c>
      <c r="D366" t="s">
        <v>263</v>
      </c>
      <c r="E366" t="s">
        <v>10</v>
      </c>
      <c r="F366" t="s">
        <v>27</v>
      </c>
      <c r="G366" t="s">
        <v>73</v>
      </c>
      <c r="H366" t="str">
        <f t="shared" si="22"/>
        <v>High</v>
      </c>
      <c r="I366">
        <v>4356</v>
      </c>
      <c r="J366">
        <v>1332.54</v>
      </c>
      <c r="K366" s="3">
        <f t="shared" si="23"/>
        <v>0.30590909090909091</v>
      </c>
      <c r="L366">
        <v>6</v>
      </c>
      <c r="M366" t="s">
        <v>13</v>
      </c>
    </row>
    <row r="367" spans="1:13" x14ac:dyDescent="0.25">
      <c r="A367">
        <v>1366</v>
      </c>
      <c r="B367">
        <f t="shared" si="20"/>
        <v>2023</v>
      </c>
      <c r="C367" t="str">
        <f t="shared" si="21"/>
        <v>January</v>
      </c>
      <c r="D367" t="s">
        <v>264</v>
      </c>
      <c r="E367" t="s">
        <v>17</v>
      </c>
      <c r="F367" t="s">
        <v>27</v>
      </c>
      <c r="G367" t="s">
        <v>73</v>
      </c>
      <c r="H367" t="str">
        <f t="shared" si="22"/>
        <v>High</v>
      </c>
      <c r="I367">
        <v>776</v>
      </c>
      <c r="J367">
        <v>107.92</v>
      </c>
      <c r="K367" s="3">
        <f t="shared" si="23"/>
        <v>0.13907216494845362</v>
      </c>
      <c r="L367">
        <v>2</v>
      </c>
      <c r="M367" t="s">
        <v>22</v>
      </c>
    </row>
    <row r="368" spans="1:13" x14ac:dyDescent="0.25">
      <c r="A368">
        <v>1367</v>
      </c>
      <c r="B368">
        <f t="shared" si="20"/>
        <v>2023</v>
      </c>
      <c r="C368" t="str">
        <f t="shared" si="21"/>
        <v>November</v>
      </c>
      <c r="D368" t="s">
        <v>219</v>
      </c>
      <c r="E368" t="s">
        <v>10</v>
      </c>
      <c r="F368" t="s">
        <v>11</v>
      </c>
      <c r="G368" t="s">
        <v>84</v>
      </c>
      <c r="H368" t="str">
        <f t="shared" si="22"/>
        <v>High</v>
      </c>
      <c r="I368">
        <v>772</v>
      </c>
      <c r="J368">
        <v>98.75</v>
      </c>
      <c r="K368" s="3">
        <f t="shared" si="23"/>
        <v>0.12791450777202074</v>
      </c>
      <c r="L368">
        <v>4</v>
      </c>
      <c r="M368" t="s">
        <v>22</v>
      </c>
    </row>
    <row r="369" spans="1:13" x14ac:dyDescent="0.25">
      <c r="A369">
        <v>1368</v>
      </c>
      <c r="B369">
        <f t="shared" si="20"/>
        <v>2023</v>
      </c>
      <c r="C369" t="str">
        <f t="shared" si="21"/>
        <v>October</v>
      </c>
      <c r="D369" t="s">
        <v>210</v>
      </c>
      <c r="E369" t="s">
        <v>10</v>
      </c>
      <c r="F369" t="s">
        <v>27</v>
      </c>
      <c r="G369" t="s">
        <v>28</v>
      </c>
      <c r="H369" t="str">
        <f t="shared" si="22"/>
        <v>High</v>
      </c>
      <c r="I369">
        <v>2064</v>
      </c>
      <c r="J369">
        <v>700.42</v>
      </c>
      <c r="K369" s="3">
        <f t="shared" si="23"/>
        <v>0.33935077519379842</v>
      </c>
      <c r="L369">
        <v>3</v>
      </c>
      <c r="M369" t="s">
        <v>30</v>
      </c>
    </row>
    <row r="370" spans="1:13" x14ac:dyDescent="0.25">
      <c r="A370">
        <v>1369</v>
      </c>
      <c r="B370">
        <f t="shared" si="20"/>
        <v>2023</v>
      </c>
      <c r="C370" t="str">
        <f t="shared" si="21"/>
        <v>June</v>
      </c>
      <c r="D370" t="s">
        <v>183</v>
      </c>
      <c r="E370" t="s">
        <v>10</v>
      </c>
      <c r="F370" t="s">
        <v>27</v>
      </c>
      <c r="G370" t="s">
        <v>95</v>
      </c>
      <c r="H370" t="str">
        <f t="shared" si="22"/>
        <v>High</v>
      </c>
      <c r="I370">
        <v>1866</v>
      </c>
      <c r="J370">
        <v>627.25</v>
      </c>
      <c r="K370" s="3">
        <f t="shared" si="23"/>
        <v>0.33614683815648444</v>
      </c>
      <c r="L370">
        <v>6</v>
      </c>
      <c r="M370" t="s">
        <v>22</v>
      </c>
    </row>
    <row r="371" spans="1:13" x14ac:dyDescent="0.25">
      <c r="A371">
        <v>1370</v>
      </c>
      <c r="B371">
        <f t="shared" si="20"/>
        <v>2023</v>
      </c>
      <c r="C371" t="str">
        <f t="shared" si="21"/>
        <v>December</v>
      </c>
      <c r="D371" t="s">
        <v>156</v>
      </c>
      <c r="E371" t="s">
        <v>24</v>
      </c>
      <c r="F371" t="s">
        <v>11</v>
      </c>
      <c r="G371" t="s">
        <v>84</v>
      </c>
      <c r="H371" t="str">
        <f t="shared" si="22"/>
        <v>High</v>
      </c>
      <c r="I371">
        <v>1620</v>
      </c>
      <c r="J371">
        <v>387.21</v>
      </c>
      <c r="K371" s="3">
        <f t="shared" si="23"/>
        <v>0.23901851851851852</v>
      </c>
      <c r="L371">
        <v>9</v>
      </c>
      <c r="M371" t="s">
        <v>30</v>
      </c>
    </row>
    <row r="372" spans="1:13" x14ac:dyDescent="0.25">
      <c r="A372">
        <v>1371</v>
      </c>
      <c r="B372">
        <f t="shared" si="20"/>
        <v>2023</v>
      </c>
      <c r="C372" t="str">
        <f t="shared" si="21"/>
        <v>December</v>
      </c>
      <c r="D372" t="s">
        <v>265</v>
      </c>
      <c r="E372" t="s">
        <v>24</v>
      </c>
      <c r="F372" t="s">
        <v>20</v>
      </c>
      <c r="G372" t="s">
        <v>55</v>
      </c>
      <c r="H372" t="str">
        <f t="shared" si="22"/>
        <v>High</v>
      </c>
      <c r="I372">
        <v>1700</v>
      </c>
      <c r="J372">
        <v>136.83000000000001</v>
      </c>
      <c r="K372" s="3">
        <f t="shared" si="23"/>
        <v>8.0488235294117652E-2</v>
      </c>
      <c r="L372">
        <v>5</v>
      </c>
      <c r="M372" t="s">
        <v>13</v>
      </c>
    </row>
    <row r="373" spans="1:13" x14ac:dyDescent="0.25">
      <c r="A373">
        <v>1372</v>
      </c>
      <c r="B373">
        <f t="shared" si="20"/>
        <v>2023</v>
      </c>
      <c r="C373" t="str">
        <f t="shared" si="21"/>
        <v>January</v>
      </c>
      <c r="D373" t="s">
        <v>50</v>
      </c>
      <c r="E373" t="s">
        <v>19</v>
      </c>
      <c r="F373" t="s">
        <v>11</v>
      </c>
      <c r="G373" t="s">
        <v>15</v>
      </c>
      <c r="H373" t="str">
        <f t="shared" si="22"/>
        <v>Low</v>
      </c>
      <c r="I373">
        <v>198</v>
      </c>
      <c r="J373">
        <v>50.04</v>
      </c>
      <c r="K373" s="3">
        <f t="shared" si="23"/>
        <v>0.25272727272727274</v>
      </c>
      <c r="L373">
        <v>3</v>
      </c>
      <c r="M373" t="s">
        <v>13</v>
      </c>
    </row>
    <row r="374" spans="1:13" x14ac:dyDescent="0.25">
      <c r="A374">
        <v>1373</v>
      </c>
      <c r="B374">
        <f t="shared" si="20"/>
        <v>2023</v>
      </c>
      <c r="C374" t="str">
        <f t="shared" si="21"/>
        <v>February</v>
      </c>
      <c r="D374" t="s">
        <v>266</v>
      </c>
      <c r="E374" t="s">
        <v>17</v>
      </c>
      <c r="F374" t="s">
        <v>20</v>
      </c>
      <c r="G374" t="s">
        <v>55</v>
      </c>
      <c r="H374" t="str">
        <f t="shared" si="22"/>
        <v>High</v>
      </c>
      <c r="I374">
        <v>3160</v>
      </c>
      <c r="J374">
        <v>795.59</v>
      </c>
      <c r="K374" s="3">
        <f t="shared" si="23"/>
        <v>0.25176898734177217</v>
      </c>
      <c r="L374">
        <v>4</v>
      </c>
      <c r="M374" t="s">
        <v>22</v>
      </c>
    </row>
    <row r="375" spans="1:13" x14ac:dyDescent="0.25">
      <c r="A375">
        <v>1374</v>
      </c>
      <c r="B375">
        <f t="shared" si="20"/>
        <v>2023</v>
      </c>
      <c r="C375" t="str">
        <f t="shared" si="21"/>
        <v>May</v>
      </c>
      <c r="D375" t="s">
        <v>23</v>
      </c>
      <c r="E375" t="s">
        <v>19</v>
      </c>
      <c r="F375" t="s">
        <v>20</v>
      </c>
      <c r="G375" t="s">
        <v>25</v>
      </c>
      <c r="H375" t="str">
        <f t="shared" si="22"/>
        <v>High</v>
      </c>
      <c r="I375">
        <v>2364</v>
      </c>
      <c r="J375">
        <v>412.83</v>
      </c>
      <c r="K375" s="3">
        <f t="shared" si="23"/>
        <v>0.17463197969543146</v>
      </c>
      <c r="L375">
        <v>4</v>
      </c>
      <c r="M375" t="s">
        <v>30</v>
      </c>
    </row>
    <row r="376" spans="1:13" x14ac:dyDescent="0.25">
      <c r="A376">
        <v>1375</v>
      </c>
      <c r="B376">
        <f t="shared" si="20"/>
        <v>2023</v>
      </c>
      <c r="C376" t="str">
        <f t="shared" si="21"/>
        <v>August</v>
      </c>
      <c r="D376" t="s">
        <v>158</v>
      </c>
      <c r="E376" t="s">
        <v>10</v>
      </c>
      <c r="F376" t="s">
        <v>20</v>
      </c>
      <c r="G376" t="s">
        <v>42</v>
      </c>
      <c r="H376" t="str">
        <f t="shared" si="22"/>
        <v>High</v>
      </c>
      <c r="I376">
        <v>2940</v>
      </c>
      <c r="J376">
        <v>935.15</v>
      </c>
      <c r="K376" s="3">
        <f t="shared" si="23"/>
        <v>0.318078231292517</v>
      </c>
      <c r="L376">
        <v>7</v>
      </c>
      <c r="M376" t="s">
        <v>22</v>
      </c>
    </row>
    <row r="377" spans="1:13" x14ac:dyDescent="0.25">
      <c r="A377">
        <v>1376</v>
      </c>
      <c r="B377">
        <f t="shared" si="20"/>
        <v>2023</v>
      </c>
      <c r="C377" t="str">
        <f t="shared" si="21"/>
        <v>October</v>
      </c>
      <c r="D377" t="s">
        <v>182</v>
      </c>
      <c r="E377" t="s">
        <v>10</v>
      </c>
      <c r="F377" t="s">
        <v>27</v>
      </c>
      <c r="G377" t="s">
        <v>95</v>
      </c>
      <c r="H377" t="str">
        <f t="shared" si="22"/>
        <v>High</v>
      </c>
      <c r="I377">
        <v>2448</v>
      </c>
      <c r="J377">
        <v>724.08</v>
      </c>
      <c r="K377" s="3">
        <f t="shared" si="23"/>
        <v>0.29578431372549019</v>
      </c>
      <c r="L377">
        <v>4</v>
      </c>
      <c r="M377" t="s">
        <v>22</v>
      </c>
    </row>
    <row r="378" spans="1:13" x14ac:dyDescent="0.25">
      <c r="A378">
        <v>1377</v>
      </c>
      <c r="B378">
        <f t="shared" si="20"/>
        <v>2023</v>
      </c>
      <c r="C378" t="str">
        <f t="shared" si="21"/>
        <v>May</v>
      </c>
      <c r="D378" t="s">
        <v>267</v>
      </c>
      <c r="E378" t="s">
        <v>10</v>
      </c>
      <c r="F378" t="s">
        <v>20</v>
      </c>
      <c r="G378" t="s">
        <v>25</v>
      </c>
      <c r="H378" t="str">
        <f t="shared" si="22"/>
        <v>Medium</v>
      </c>
      <c r="I378">
        <v>462</v>
      </c>
      <c r="J378">
        <v>147.72</v>
      </c>
      <c r="K378" s="3">
        <f t="shared" si="23"/>
        <v>0.31974025974025971</v>
      </c>
      <c r="L378">
        <v>2</v>
      </c>
      <c r="M378" t="s">
        <v>22</v>
      </c>
    </row>
    <row r="379" spans="1:13" x14ac:dyDescent="0.25">
      <c r="A379">
        <v>1378</v>
      </c>
      <c r="B379">
        <f t="shared" si="20"/>
        <v>2023</v>
      </c>
      <c r="C379" t="str">
        <f t="shared" si="21"/>
        <v>November</v>
      </c>
      <c r="D379" t="s">
        <v>59</v>
      </c>
      <c r="E379" t="s">
        <v>10</v>
      </c>
      <c r="F379" t="s">
        <v>20</v>
      </c>
      <c r="G379" t="s">
        <v>42</v>
      </c>
      <c r="H379" t="str">
        <f t="shared" si="22"/>
        <v>High</v>
      </c>
      <c r="I379">
        <v>10680</v>
      </c>
      <c r="J379">
        <v>2098.16</v>
      </c>
      <c r="K379" s="3">
        <f t="shared" si="23"/>
        <v>0.1964569288389513</v>
      </c>
      <c r="L379">
        <v>10</v>
      </c>
      <c r="M379" t="s">
        <v>22</v>
      </c>
    </row>
    <row r="380" spans="1:13" x14ac:dyDescent="0.25">
      <c r="A380">
        <v>1379</v>
      </c>
      <c r="B380">
        <f t="shared" si="20"/>
        <v>2023</v>
      </c>
      <c r="C380" t="str">
        <f t="shared" si="21"/>
        <v>January</v>
      </c>
      <c r="D380" t="s">
        <v>117</v>
      </c>
      <c r="E380" t="s">
        <v>19</v>
      </c>
      <c r="F380" t="s">
        <v>11</v>
      </c>
      <c r="G380" t="s">
        <v>33</v>
      </c>
      <c r="H380" t="str">
        <f t="shared" si="22"/>
        <v>Low</v>
      </c>
      <c r="I380">
        <v>116</v>
      </c>
      <c r="J380">
        <v>22.1</v>
      </c>
      <c r="K380" s="3">
        <f t="shared" si="23"/>
        <v>0.19051724137931036</v>
      </c>
      <c r="L380">
        <v>2</v>
      </c>
      <c r="M380" t="s">
        <v>30</v>
      </c>
    </row>
    <row r="381" spans="1:13" x14ac:dyDescent="0.25">
      <c r="A381">
        <v>1380</v>
      </c>
      <c r="B381">
        <f t="shared" si="20"/>
        <v>2023</v>
      </c>
      <c r="C381" t="str">
        <f t="shared" si="21"/>
        <v>May</v>
      </c>
      <c r="D381" t="s">
        <v>65</v>
      </c>
      <c r="E381" t="s">
        <v>24</v>
      </c>
      <c r="F381" t="s">
        <v>11</v>
      </c>
      <c r="G381" t="s">
        <v>15</v>
      </c>
      <c r="H381" t="str">
        <f t="shared" si="22"/>
        <v>Low</v>
      </c>
      <c r="I381">
        <v>110</v>
      </c>
      <c r="J381">
        <v>20.47</v>
      </c>
      <c r="K381" s="3">
        <f t="shared" si="23"/>
        <v>0.18609090909090908</v>
      </c>
      <c r="L381">
        <v>5</v>
      </c>
      <c r="M381" t="s">
        <v>13</v>
      </c>
    </row>
    <row r="382" spans="1:13" x14ac:dyDescent="0.25">
      <c r="A382">
        <v>1381</v>
      </c>
      <c r="B382">
        <f t="shared" si="20"/>
        <v>2023</v>
      </c>
      <c r="C382" t="str">
        <f t="shared" si="21"/>
        <v>July</v>
      </c>
      <c r="D382" t="s">
        <v>220</v>
      </c>
      <c r="E382" t="s">
        <v>17</v>
      </c>
      <c r="F382" t="s">
        <v>11</v>
      </c>
      <c r="G382" t="s">
        <v>84</v>
      </c>
      <c r="H382" t="str">
        <f t="shared" si="22"/>
        <v>Low</v>
      </c>
      <c r="I382">
        <v>85</v>
      </c>
      <c r="J382">
        <v>25.71</v>
      </c>
      <c r="K382" s="3">
        <f t="shared" si="23"/>
        <v>0.3024705882352941</v>
      </c>
      <c r="L382">
        <v>1</v>
      </c>
      <c r="M382" t="s">
        <v>30</v>
      </c>
    </row>
    <row r="383" spans="1:13" x14ac:dyDescent="0.25">
      <c r="A383">
        <v>1382</v>
      </c>
      <c r="B383">
        <f t="shared" si="20"/>
        <v>2023</v>
      </c>
      <c r="C383" t="str">
        <f t="shared" si="21"/>
        <v>February</v>
      </c>
      <c r="D383" t="s">
        <v>190</v>
      </c>
      <c r="E383" t="s">
        <v>19</v>
      </c>
      <c r="F383" t="s">
        <v>11</v>
      </c>
      <c r="G383" t="s">
        <v>15</v>
      </c>
      <c r="H383" t="str">
        <f t="shared" si="22"/>
        <v>Low</v>
      </c>
      <c r="I383">
        <v>173</v>
      </c>
      <c r="J383">
        <v>27.47</v>
      </c>
      <c r="K383" s="3">
        <f t="shared" si="23"/>
        <v>0.15878612716763005</v>
      </c>
      <c r="L383">
        <v>1</v>
      </c>
      <c r="M383" t="s">
        <v>30</v>
      </c>
    </row>
    <row r="384" spans="1:13" x14ac:dyDescent="0.25">
      <c r="A384">
        <v>1383</v>
      </c>
      <c r="B384">
        <f t="shared" si="20"/>
        <v>2023</v>
      </c>
      <c r="C384" t="str">
        <f t="shared" si="21"/>
        <v>July</v>
      </c>
      <c r="D384" t="s">
        <v>150</v>
      </c>
      <c r="E384" t="s">
        <v>10</v>
      </c>
      <c r="F384" t="s">
        <v>20</v>
      </c>
      <c r="G384" t="s">
        <v>55</v>
      </c>
      <c r="H384" t="str">
        <f t="shared" si="22"/>
        <v>High</v>
      </c>
      <c r="I384">
        <v>8648</v>
      </c>
      <c r="J384">
        <v>904.64</v>
      </c>
      <c r="K384" s="3">
        <f t="shared" si="23"/>
        <v>0.10460684551341351</v>
      </c>
      <c r="L384">
        <v>8</v>
      </c>
      <c r="M384" t="s">
        <v>22</v>
      </c>
    </row>
    <row r="385" spans="1:13" x14ac:dyDescent="0.25">
      <c r="A385">
        <v>1384</v>
      </c>
      <c r="B385">
        <f t="shared" si="20"/>
        <v>2023</v>
      </c>
      <c r="C385" t="str">
        <f t="shared" si="21"/>
        <v>July</v>
      </c>
      <c r="D385" t="s">
        <v>160</v>
      </c>
      <c r="E385" t="s">
        <v>17</v>
      </c>
      <c r="F385" t="s">
        <v>11</v>
      </c>
      <c r="G385" t="s">
        <v>84</v>
      </c>
      <c r="H385" t="str">
        <f t="shared" si="22"/>
        <v>Low</v>
      </c>
      <c r="I385">
        <v>126</v>
      </c>
      <c r="J385">
        <v>19.04</v>
      </c>
      <c r="K385" s="3">
        <f t="shared" si="23"/>
        <v>0.15111111111111111</v>
      </c>
      <c r="L385">
        <v>6</v>
      </c>
      <c r="M385" t="s">
        <v>22</v>
      </c>
    </row>
    <row r="386" spans="1:13" x14ac:dyDescent="0.25">
      <c r="A386">
        <v>1385</v>
      </c>
      <c r="B386">
        <f t="shared" ref="B386:B449" si="24">YEAR(D386)</f>
        <v>2023</v>
      </c>
      <c r="C386" t="str">
        <f t="shared" ref="C386:C449" si="25">TEXT(D386,"mmmm")</f>
        <v>October</v>
      </c>
      <c r="D386" t="s">
        <v>62</v>
      </c>
      <c r="E386" t="s">
        <v>17</v>
      </c>
      <c r="F386" t="s">
        <v>27</v>
      </c>
      <c r="G386" t="s">
        <v>73</v>
      </c>
      <c r="H386" t="str">
        <f t="shared" ref="H386:H449" si="26">IF(I386&lt;=200,"Low",IF(I386&lt;=600,"Medium","High"))</f>
        <v>High</v>
      </c>
      <c r="I386">
        <v>863</v>
      </c>
      <c r="J386">
        <v>91.57</v>
      </c>
      <c r="K386" s="3">
        <f t="shared" ref="K386:K449" si="27">J386/I386</f>
        <v>0.10610660486674391</v>
      </c>
      <c r="L386">
        <v>1</v>
      </c>
      <c r="M386" t="s">
        <v>22</v>
      </c>
    </row>
    <row r="387" spans="1:13" x14ac:dyDescent="0.25">
      <c r="A387">
        <v>1386</v>
      </c>
      <c r="B387">
        <f t="shared" si="24"/>
        <v>2023</v>
      </c>
      <c r="C387" t="str">
        <f t="shared" si="25"/>
        <v>April</v>
      </c>
      <c r="D387" t="s">
        <v>268</v>
      </c>
      <c r="E387" t="s">
        <v>19</v>
      </c>
      <c r="F387" t="s">
        <v>11</v>
      </c>
      <c r="G387" t="s">
        <v>44</v>
      </c>
      <c r="H387" t="str">
        <f t="shared" si="26"/>
        <v>High</v>
      </c>
      <c r="I387">
        <v>1287</v>
      </c>
      <c r="J387">
        <v>248.43</v>
      </c>
      <c r="K387" s="3">
        <f t="shared" si="27"/>
        <v>0.19303030303030302</v>
      </c>
      <c r="L387">
        <v>9</v>
      </c>
      <c r="M387" t="s">
        <v>13</v>
      </c>
    </row>
    <row r="388" spans="1:13" x14ac:dyDescent="0.25">
      <c r="A388">
        <v>1387</v>
      </c>
      <c r="B388">
        <f t="shared" si="24"/>
        <v>2023</v>
      </c>
      <c r="C388" t="str">
        <f t="shared" si="25"/>
        <v>June</v>
      </c>
      <c r="D388" t="s">
        <v>269</v>
      </c>
      <c r="E388" t="s">
        <v>17</v>
      </c>
      <c r="F388" t="s">
        <v>11</v>
      </c>
      <c r="G388" t="s">
        <v>84</v>
      </c>
      <c r="H388" t="str">
        <f t="shared" si="26"/>
        <v>Low</v>
      </c>
      <c r="I388">
        <v>36</v>
      </c>
      <c r="J388">
        <v>7.76</v>
      </c>
      <c r="K388" s="3">
        <f t="shared" si="27"/>
        <v>0.21555555555555556</v>
      </c>
      <c r="L388">
        <v>2</v>
      </c>
      <c r="M388" t="s">
        <v>22</v>
      </c>
    </row>
    <row r="389" spans="1:13" x14ac:dyDescent="0.25">
      <c r="A389">
        <v>1388</v>
      </c>
      <c r="B389">
        <f t="shared" si="24"/>
        <v>2023</v>
      </c>
      <c r="C389" t="str">
        <f t="shared" si="25"/>
        <v>August</v>
      </c>
      <c r="D389" t="s">
        <v>204</v>
      </c>
      <c r="E389" t="s">
        <v>17</v>
      </c>
      <c r="F389" t="s">
        <v>11</v>
      </c>
      <c r="G389" t="s">
        <v>15</v>
      </c>
      <c r="H389" t="str">
        <f t="shared" si="26"/>
        <v>Low</v>
      </c>
      <c r="I389">
        <v>177</v>
      </c>
      <c r="J389">
        <v>20.190000000000001</v>
      </c>
      <c r="K389" s="3">
        <f t="shared" si="27"/>
        <v>0.1140677966101695</v>
      </c>
      <c r="L389">
        <v>3</v>
      </c>
      <c r="M389" t="s">
        <v>30</v>
      </c>
    </row>
    <row r="390" spans="1:13" x14ac:dyDescent="0.25">
      <c r="A390">
        <v>1389</v>
      </c>
      <c r="B390">
        <f t="shared" si="24"/>
        <v>2023</v>
      </c>
      <c r="C390" t="str">
        <f t="shared" si="25"/>
        <v>November</v>
      </c>
      <c r="D390" t="s">
        <v>270</v>
      </c>
      <c r="E390" t="s">
        <v>19</v>
      </c>
      <c r="F390" t="s">
        <v>27</v>
      </c>
      <c r="G390" t="s">
        <v>28</v>
      </c>
      <c r="H390" t="str">
        <f t="shared" si="26"/>
        <v>High</v>
      </c>
      <c r="I390">
        <v>1431</v>
      </c>
      <c r="J390">
        <v>467.69</v>
      </c>
      <c r="K390" s="3">
        <f t="shared" si="27"/>
        <v>0.32682739343116701</v>
      </c>
      <c r="L390">
        <v>3</v>
      </c>
      <c r="M390" t="s">
        <v>30</v>
      </c>
    </row>
    <row r="391" spans="1:13" x14ac:dyDescent="0.25">
      <c r="A391">
        <v>1390</v>
      </c>
      <c r="B391">
        <f t="shared" si="24"/>
        <v>2023</v>
      </c>
      <c r="C391" t="str">
        <f t="shared" si="25"/>
        <v>July</v>
      </c>
      <c r="D391" t="s">
        <v>150</v>
      </c>
      <c r="E391" t="s">
        <v>19</v>
      </c>
      <c r="F391" t="s">
        <v>20</v>
      </c>
      <c r="G391" t="s">
        <v>42</v>
      </c>
      <c r="H391" t="str">
        <f t="shared" si="26"/>
        <v>High</v>
      </c>
      <c r="I391">
        <v>6723</v>
      </c>
      <c r="J391">
        <v>1369.49</v>
      </c>
      <c r="K391" s="3">
        <f t="shared" si="27"/>
        <v>0.20370221627249741</v>
      </c>
      <c r="L391">
        <v>9</v>
      </c>
      <c r="M391" t="s">
        <v>13</v>
      </c>
    </row>
    <row r="392" spans="1:13" x14ac:dyDescent="0.25">
      <c r="A392">
        <v>1391</v>
      </c>
      <c r="B392">
        <f t="shared" si="24"/>
        <v>2023</v>
      </c>
      <c r="C392" t="str">
        <f t="shared" si="25"/>
        <v>August</v>
      </c>
      <c r="D392" t="s">
        <v>184</v>
      </c>
      <c r="E392" t="s">
        <v>19</v>
      </c>
      <c r="F392" t="s">
        <v>20</v>
      </c>
      <c r="G392" t="s">
        <v>39</v>
      </c>
      <c r="H392" t="str">
        <f t="shared" si="26"/>
        <v>High</v>
      </c>
      <c r="I392">
        <v>1149</v>
      </c>
      <c r="J392">
        <v>272.68</v>
      </c>
      <c r="K392" s="3">
        <f t="shared" si="27"/>
        <v>0.23731940818102698</v>
      </c>
      <c r="L392">
        <v>3</v>
      </c>
      <c r="M392" t="s">
        <v>30</v>
      </c>
    </row>
    <row r="393" spans="1:13" x14ac:dyDescent="0.25">
      <c r="A393">
        <v>1392</v>
      </c>
      <c r="B393">
        <f t="shared" si="24"/>
        <v>2023</v>
      </c>
      <c r="C393" t="str">
        <f t="shared" si="25"/>
        <v>October</v>
      </c>
      <c r="D393" t="s">
        <v>104</v>
      </c>
      <c r="E393" t="s">
        <v>10</v>
      </c>
      <c r="F393" t="s">
        <v>20</v>
      </c>
      <c r="G393" t="s">
        <v>42</v>
      </c>
      <c r="H393" t="str">
        <f t="shared" si="26"/>
        <v>High</v>
      </c>
      <c r="I393">
        <v>5526</v>
      </c>
      <c r="J393">
        <v>1419.04</v>
      </c>
      <c r="K393" s="3">
        <f t="shared" si="27"/>
        <v>0.25679334057184222</v>
      </c>
      <c r="L393">
        <v>6</v>
      </c>
      <c r="M393" t="s">
        <v>22</v>
      </c>
    </row>
    <row r="394" spans="1:13" x14ac:dyDescent="0.25">
      <c r="A394">
        <v>1393</v>
      </c>
      <c r="B394">
        <f t="shared" si="24"/>
        <v>2023</v>
      </c>
      <c r="C394" t="str">
        <f t="shared" si="25"/>
        <v>March</v>
      </c>
      <c r="D394" t="s">
        <v>271</v>
      </c>
      <c r="E394" t="s">
        <v>19</v>
      </c>
      <c r="F394" t="s">
        <v>11</v>
      </c>
      <c r="G394" t="s">
        <v>15</v>
      </c>
      <c r="H394" t="str">
        <f t="shared" si="26"/>
        <v>High</v>
      </c>
      <c r="I394">
        <v>840</v>
      </c>
      <c r="J394">
        <v>205.24</v>
      </c>
      <c r="K394" s="3">
        <f t="shared" si="27"/>
        <v>0.24433333333333335</v>
      </c>
      <c r="L394">
        <v>5</v>
      </c>
      <c r="M394" t="s">
        <v>30</v>
      </c>
    </row>
    <row r="395" spans="1:13" x14ac:dyDescent="0.25">
      <c r="A395">
        <v>1394</v>
      </c>
      <c r="B395">
        <f t="shared" si="24"/>
        <v>2023</v>
      </c>
      <c r="C395" t="str">
        <f t="shared" si="25"/>
        <v>June</v>
      </c>
      <c r="D395" t="s">
        <v>272</v>
      </c>
      <c r="E395" t="s">
        <v>10</v>
      </c>
      <c r="F395" t="s">
        <v>11</v>
      </c>
      <c r="G395" t="s">
        <v>84</v>
      </c>
      <c r="H395" t="str">
        <f t="shared" si="26"/>
        <v>Medium</v>
      </c>
      <c r="I395">
        <v>312</v>
      </c>
      <c r="J395">
        <v>100.53</v>
      </c>
      <c r="K395" s="3">
        <f t="shared" si="27"/>
        <v>0.32221153846153844</v>
      </c>
      <c r="L395">
        <v>4</v>
      </c>
      <c r="M395" t="s">
        <v>22</v>
      </c>
    </row>
    <row r="396" spans="1:13" x14ac:dyDescent="0.25">
      <c r="A396">
        <v>1395</v>
      </c>
      <c r="B396">
        <f t="shared" si="24"/>
        <v>2023</v>
      </c>
      <c r="C396" t="str">
        <f t="shared" si="25"/>
        <v>May</v>
      </c>
      <c r="D396" t="s">
        <v>261</v>
      </c>
      <c r="E396" t="s">
        <v>24</v>
      </c>
      <c r="F396" t="s">
        <v>20</v>
      </c>
      <c r="G396" t="s">
        <v>25</v>
      </c>
      <c r="H396" t="str">
        <f t="shared" si="26"/>
        <v>High</v>
      </c>
      <c r="I396">
        <v>2248</v>
      </c>
      <c r="J396">
        <v>362.22</v>
      </c>
      <c r="K396" s="3">
        <f t="shared" si="27"/>
        <v>0.16112989323843419</v>
      </c>
      <c r="L396">
        <v>8</v>
      </c>
      <c r="M396" t="s">
        <v>22</v>
      </c>
    </row>
    <row r="397" spans="1:13" x14ac:dyDescent="0.25">
      <c r="A397">
        <v>1396</v>
      </c>
      <c r="B397">
        <f t="shared" si="24"/>
        <v>2023</v>
      </c>
      <c r="C397" t="str">
        <f t="shared" si="25"/>
        <v>August</v>
      </c>
      <c r="D397" t="s">
        <v>273</v>
      </c>
      <c r="E397" t="s">
        <v>24</v>
      </c>
      <c r="F397" t="s">
        <v>11</v>
      </c>
      <c r="G397" t="s">
        <v>84</v>
      </c>
      <c r="H397" t="str">
        <f t="shared" si="26"/>
        <v>High</v>
      </c>
      <c r="I397">
        <v>1230</v>
      </c>
      <c r="J397">
        <v>168.6</v>
      </c>
      <c r="K397" s="3">
        <f t="shared" si="27"/>
        <v>0.1370731707317073</v>
      </c>
      <c r="L397">
        <v>10</v>
      </c>
      <c r="M397" t="s">
        <v>22</v>
      </c>
    </row>
    <row r="398" spans="1:13" x14ac:dyDescent="0.25">
      <c r="A398">
        <v>1397</v>
      </c>
      <c r="B398">
        <f t="shared" si="24"/>
        <v>2023</v>
      </c>
      <c r="C398" t="str">
        <f t="shared" si="25"/>
        <v>September</v>
      </c>
      <c r="D398" t="s">
        <v>79</v>
      </c>
      <c r="E398" t="s">
        <v>24</v>
      </c>
      <c r="F398" t="s">
        <v>27</v>
      </c>
      <c r="G398" t="s">
        <v>95</v>
      </c>
      <c r="H398" t="str">
        <f t="shared" si="26"/>
        <v>High</v>
      </c>
      <c r="I398">
        <v>1404</v>
      </c>
      <c r="J398">
        <v>304.44</v>
      </c>
      <c r="K398" s="3">
        <f t="shared" si="27"/>
        <v>0.21683760683760683</v>
      </c>
      <c r="L398">
        <v>3</v>
      </c>
      <c r="M398" t="s">
        <v>30</v>
      </c>
    </row>
    <row r="399" spans="1:13" x14ac:dyDescent="0.25">
      <c r="A399">
        <v>1398</v>
      </c>
      <c r="B399">
        <f t="shared" si="24"/>
        <v>2023</v>
      </c>
      <c r="C399" t="str">
        <f t="shared" si="25"/>
        <v>April</v>
      </c>
      <c r="D399" t="s">
        <v>157</v>
      </c>
      <c r="E399" t="s">
        <v>10</v>
      </c>
      <c r="F399" t="s">
        <v>20</v>
      </c>
      <c r="G399" t="s">
        <v>39</v>
      </c>
      <c r="H399" t="str">
        <f t="shared" si="26"/>
        <v>High</v>
      </c>
      <c r="I399">
        <v>792</v>
      </c>
      <c r="J399">
        <v>160.97</v>
      </c>
      <c r="K399" s="3">
        <f t="shared" si="27"/>
        <v>0.20324494949494951</v>
      </c>
      <c r="L399">
        <v>4</v>
      </c>
      <c r="M399" t="s">
        <v>30</v>
      </c>
    </row>
    <row r="400" spans="1:13" x14ac:dyDescent="0.25">
      <c r="A400">
        <v>1399</v>
      </c>
      <c r="B400">
        <f t="shared" si="24"/>
        <v>2023</v>
      </c>
      <c r="C400" t="str">
        <f t="shared" si="25"/>
        <v>August</v>
      </c>
      <c r="D400" t="s">
        <v>206</v>
      </c>
      <c r="E400" t="s">
        <v>24</v>
      </c>
      <c r="F400" t="s">
        <v>27</v>
      </c>
      <c r="G400" t="s">
        <v>36</v>
      </c>
      <c r="H400" t="str">
        <f t="shared" si="26"/>
        <v>High</v>
      </c>
      <c r="I400">
        <v>7200</v>
      </c>
      <c r="J400">
        <v>1900.2</v>
      </c>
      <c r="K400" s="3">
        <f t="shared" si="27"/>
        <v>0.26391666666666669</v>
      </c>
      <c r="L400">
        <v>9</v>
      </c>
      <c r="M400" t="s">
        <v>22</v>
      </c>
    </row>
    <row r="401" spans="1:13" x14ac:dyDescent="0.25">
      <c r="A401">
        <v>1400</v>
      </c>
      <c r="B401">
        <f t="shared" si="24"/>
        <v>2023</v>
      </c>
      <c r="C401" t="str">
        <f t="shared" si="25"/>
        <v>August</v>
      </c>
      <c r="D401" t="s">
        <v>122</v>
      </c>
      <c r="E401" t="s">
        <v>19</v>
      </c>
      <c r="F401" t="s">
        <v>20</v>
      </c>
      <c r="G401" t="s">
        <v>25</v>
      </c>
      <c r="H401" t="str">
        <f t="shared" si="26"/>
        <v>High</v>
      </c>
      <c r="I401">
        <v>3153</v>
      </c>
      <c r="J401">
        <v>549.99</v>
      </c>
      <c r="K401" s="3">
        <f t="shared" si="27"/>
        <v>0.17443387250237868</v>
      </c>
      <c r="L401">
        <v>3</v>
      </c>
      <c r="M401" t="s">
        <v>13</v>
      </c>
    </row>
    <row r="402" spans="1:13" x14ac:dyDescent="0.25">
      <c r="A402">
        <v>1401</v>
      </c>
      <c r="B402">
        <f t="shared" si="24"/>
        <v>2023</v>
      </c>
      <c r="C402" t="str">
        <f t="shared" si="25"/>
        <v>January</v>
      </c>
      <c r="D402" t="s">
        <v>100</v>
      </c>
      <c r="E402" t="s">
        <v>10</v>
      </c>
      <c r="F402" t="s">
        <v>20</v>
      </c>
      <c r="G402" t="s">
        <v>25</v>
      </c>
      <c r="H402" t="str">
        <f t="shared" si="26"/>
        <v>High</v>
      </c>
      <c r="I402">
        <v>1267</v>
      </c>
      <c r="J402">
        <v>368.13</v>
      </c>
      <c r="K402" s="3">
        <f t="shared" si="27"/>
        <v>0.29055248618784529</v>
      </c>
      <c r="L402">
        <v>7</v>
      </c>
      <c r="M402" t="s">
        <v>22</v>
      </c>
    </row>
    <row r="403" spans="1:13" x14ac:dyDescent="0.25">
      <c r="A403">
        <v>1402</v>
      </c>
      <c r="B403">
        <f t="shared" si="24"/>
        <v>2023</v>
      </c>
      <c r="C403" t="str">
        <f t="shared" si="25"/>
        <v>April</v>
      </c>
      <c r="D403" t="s">
        <v>203</v>
      </c>
      <c r="E403" t="s">
        <v>17</v>
      </c>
      <c r="F403" t="s">
        <v>20</v>
      </c>
      <c r="G403" t="s">
        <v>21</v>
      </c>
      <c r="H403" t="str">
        <f t="shared" si="26"/>
        <v>High</v>
      </c>
      <c r="I403">
        <v>4590</v>
      </c>
      <c r="J403">
        <v>1438.74</v>
      </c>
      <c r="K403" s="3">
        <f t="shared" si="27"/>
        <v>0.31345098039215685</v>
      </c>
      <c r="L403">
        <v>5</v>
      </c>
      <c r="M403" t="s">
        <v>13</v>
      </c>
    </row>
    <row r="404" spans="1:13" x14ac:dyDescent="0.25">
      <c r="A404">
        <v>1403</v>
      </c>
      <c r="B404">
        <f t="shared" si="24"/>
        <v>2023</v>
      </c>
      <c r="C404" t="str">
        <f t="shared" si="25"/>
        <v>November</v>
      </c>
      <c r="D404" t="s">
        <v>171</v>
      </c>
      <c r="E404" t="s">
        <v>19</v>
      </c>
      <c r="F404" t="s">
        <v>11</v>
      </c>
      <c r="G404" t="s">
        <v>12</v>
      </c>
      <c r="H404" t="str">
        <f t="shared" si="26"/>
        <v>Medium</v>
      </c>
      <c r="I404">
        <v>222</v>
      </c>
      <c r="J404">
        <v>54.22</v>
      </c>
      <c r="K404" s="3">
        <f t="shared" si="27"/>
        <v>0.24423423423423424</v>
      </c>
      <c r="L404">
        <v>3</v>
      </c>
      <c r="M404" t="s">
        <v>30</v>
      </c>
    </row>
    <row r="405" spans="1:13" x14ac:dyDescent="0.25">
      <c r="A405">
        <v>1404</v>
      </c>
      <c r="B405">
        <f t="shared" si="24"/>
        <v>2023</v>
      </c>
      <c r="C405" t="str">
        <f t="shared" si="25"/>
        <v>June</v>
      </c>
      <c r="D405" t="s">
        <v>274</v>
      </c>
      <c r="E405" t="s">
        <v>19</v>
      </c>
      <c r="F405" t="s">
        <v>27</v>
      </c>
      <c r="G405" t="s">
        <v>73</v>
      </c>
      <c r="H405" t="str">
        <f t="shared" si="26"/>
        <v>High</v>
      </c>
      <c r="I405">
        <v>2984</v>
      </c>
      <c r="J405">
        <v>482.15</v>
      </c>
      <c r="K405" s="3">
        <f t="shared" si="27"/>
        <v>0.16157841823056299</v>
      </c>
      <c r="L405">
        <v>8</v>
      </c>
      <c r="M405" t="s">
        <v>22</v>
      </c>
    </row>
    <row r="406" spans="1:13" x14ac:dyDescent="0.25">
      <c r="A406">
        <v>1405</v>
      </c>
      <c r="B406">
        <f t="shared" si="24"/>
        <v>2023</v>
      </c>
      <c r="C406" t="str">
        <f t="shared" si="25"/>
        <v>February</v>
      </c>
      <c r="D406" t="s">
        <v>173</v>
      </c>
      <c r="E406" t="s">
        <v>19</v>
      </c>
      <c r="F406" t="s">
        <v>11</v>
      </c>
      <c r="G406" t="s">
        <v>15</v>
      </c>
      <c r="H406" t="str">
        <f t="shared" si="26"/>
        <v>Low</v>
      </c>
      <c r="I406">
        <v>105</v>
      </c>
      <c r="J406">
        <v>24.32</v>
      </c>
      <c r="K406" s="3">
        <f t="shared" si="27"/>
        <v>0.23161904761904761</v>
      </c>
      <c r="L406">
        <v>1</v>
      </c>
      <c r="M406" t="s">
        <v>13</v>
      </c>
    </row>
    <row r="407" spans="1:13" x14ac:dyDescent="0.25">
      <c r="A407">
        <v>1406</v>
      </c>
      <c r="B407">
        <f t="shared" si="24"/>
        <v>2023</v>
      </c>
      <c r="C407" t="str">
        <f t="shared" si="25"/>
        <v>December</v>
      </c>
      <c r="D407" t="s">
        <v>275</v>
      </c>
      <c r="E407" t="s">
        <v>24</v>
      </c>
      <c r="F407" t="s">
        <v>11</v>
      </c>
      <c r="G407" t="s">
        <v>15</v>
      </c>
      <c r="H407" t="str">
        <f t="shared" si="26"/>
        <v>Low</v>
      </c>
      <c r="I407">
        <v>192</v>
      </c>
      <c r="J407">
        <v>66.599999999999994</v>
      </c>
      <c r="K407" s="3">
        <f t="shared" si="27"/>
        <v>0.34687499999999999</v>
      </c>
      <c r="L407">
        <v>2</v>
      </c>
      <c r="M407" t="s">
        <v>22</v>
      </c>
    </row>
    <row r="408" spans="1:13" x14ac:dyDescent="0.25">
      <c r="A408">
        <v>1407</v>
      </c>
      <c r="B408">
        <f t="shared" si="24"/>
        <v>2023</v>
      </c>
      <c r="C408" t="str">
        <f t="shared" si="25"/>
        <v>December</v>
      </c>
      <c r="D408" t="s">
        <v>136</v>
      </c>
      <c r="E408" t="s">
        <v>24</v>
      </c>
      <c r="F408" t="s">
        <v>11</v>
      </c>
      <c r="G408" t="s">
        <v>44</v>
      </c>
      <c r="H408" t="str">
        <f t="shared" si="26"/>
        <v>High</v>
      </c>
      <c r="I408">
        <v>710</v>
      </c>
      <c r="J408">
        <v>203.54</v>
      </c>
      <c r="K408" s="3">
        <f t="shared" si="27"/>
        <v>0.28667605633802817</v>
      </c>
      <c r="L408">
        <v>5</v>
      </c>
      <c r="M408" t="s">
        <v>22</v>
      </c>
    </row>
    <row r="409" spans="1:13" x14ac:dyDescent="0.25">
      <c r="A409">
        <v>1408</v>
      </c>
      <c r="B409">
        <f t="shared" si="24"/>
        <v>2023</v>
      </c>
      <c r="C409" t="str">
        <f t="shared" si="25"/>
        <v>June</v>
      </c>
      <c r="D409" t="s">
        <v>276</v>
      </c>
      <c r="E409" t="s">
        <v>19</v>
      </c>
      <c r="F409" t="s">
        <v>20</v>
      </c>
      <c r="G409" t="s">
        <v>39</v>
      </c>
      <c r="H409" t="str">
        <f t="shared" si="26"/>
        <v>Medium</v>
      </c>
      <c r="I409">
        <v>396</v>
      </c>
      <c r="J409">
        <v>138.33000000000001</v>
      </c>
      <c r="K409" s="3">
        <f t="shared" si="27"/>
        <v>0.34931818181818186</v>
      </c>
      <c r="L409">
        <v>3</v>
      </c>
      <c r="M409" t="s">
        <v>13</v>
      </c>
    </row>
    <row r="410" spans="1:13" x14ac:dyDescent="0.25">
      <c r="A410">
        <v>1409</v>
      </c>
      <c r="B410">
        <f t="shared" si="24"/>
        <v>2023</v>
      </c>
      <c r="C410" t="str">
        <f t="shared" si="25"/>
        <v>January</v>
      </c>
      <c r="D410" t="s">
        <v>226</v>
      </c>
      <c r="E410" t="s">
        <v>19</v>
      </c>
      <c r="F410" t="s">
        <v>27</v>
      </c>
      <c r="G410" t="s">
        <v>95</v>
      </c>
      <c r="H410" t="str">
        <f t="shared" si="26"/>
        <v>High</v>
      </c>
      <c r="I410">
        <v>5010</v>
      </c>
      <c r="J410">
        <v>1365.77</v>
      </c>
      <c r="K410" s="3">
        <f t="shared" si="27"/>
        <v>0.27260878243512976</v>
      </c>
      <c r="L410">
        <v>10</v>
      </c>
      <c r="M410" t="s">
        <v>22</v>
      </c>
    </row>
    <row r="411" spans="1:13" x14ac:dyDescent="0.25">
      <c r="A411">
        <v>1410</v>
      </c>
      <c r="B411">
        <f t="shared" si="24"/>
        <v>2023</v>
      </c>
      <c r="C411" t="str">
        <f t="shared" si="25"/>
        <v>July</v>
      </c>
      <c r="D411" t="s">
        <v>127</v>
      </c>
      <c r="E411" t="s">
        <v>19</v>
      </c>
      <c r="F411" t="s">
        <v>11</v>
      </c>
      <c r="G411" t="s">
        <v>15</v>
      </c>
      <c r="H411" t="str">
        <f t="shared" si="26"/>
        <v>High</v>
      </c>
      <c r="I411">
        <v>1602</v>
      </c>
      <c r="J411">
        <v>507.28</v>
      </c>
      <c r="K411" s="3">
        <f t="shared" si="27"/>
        <v>0.3166541822721598</v>
      </c>
      <c r="L411">
        <v>9</v>
      </c>
      <c r="M411" t="s">
        <v>13</v>
      </c>
    </row>
    <row r="412" spans="1:13" x14ac:dyDescent="0.25">
      <c r="A412">
        <v>1411</v>
      </c>
      <c r="B412">
        <f t="shared" si="24"/>
        <v>2023</v>
      </c>
      <c r="C412" t="str">
        <f t="shared" si="25"/>
        <v>March</v>
      </c>
      <c r="D412" t="s">
        <v>89</v>
      </c>
      <c r="E412" t="s">
        <v>10</v>
      </c>
      <c r="F412" t="s">
        <v>20</v>
      </c>
      <c r="G412" t="s">
        <v>25</v>
      </c>
      <c r="H412" t="str">
        <f t="shared" si="26"/>
        <v>High</v>
      </c>
      <c r="I412">
        <v>2270</v>
      </c>
      <c r="J412">
        <v>582.70000000000005</v>
      </c>
      <c r="K412" s="3">
        <f t="shared" si="27"/>
        <v>0.25669603524229079</v>
      </c>
      <c r="L412">
        <v>5</v>
      </c>
      <c r="M412" t="s">
        <v>22</v>
      </c>
    </row>
    <row r="413" spans="1:13" x14ac:dyDescent="0.25">
      <c r="A413">
        <v>1412</v>
      </c>
      <c r="B413">
        <f t="shared" si="24"/>
        <v>2023</v>
      </c>
      <c r="C413" t="str">
        <f t="shared" si="25"/>
        <v>June</v>
      </c>
      <c r="D413" t="s">
        <v>111</v>
      </c>
      <c r="E413" t="s">
        <v>17</v>
      </c>
      <c r="F413" t="s">
        <v>20</v>
      </c>
      <c r="G413" t="s">
        <v>25</v>
      </c>
      <c r="H413" t="str">
        <f t="shared" si="26"/>
        <v>High</v>
      </c>
      <c r="I413">
        <v>5306</v>
      </c>
      <c r="J413">
        <v>1263.3800000000001</v>
      </c>
      <c r="K413" s="3">
        <f t="shared" si="27"/>
        <v>0.23810403316999626</v>
      </c>
      <c r="L413">
        <v>7</v>
      </c>
      <c r="M413" t="s">
        <v>13</v>
      </c>
    </row>
    <row r="414" spans="1:13" x14ac:dyDescent="0.25">
      <c r="A414">
        <v>1413</v>
      </c>
      <c r="B414">
        <f t="shared" si="24"/>
        <v>2023</v>
      </c>
      <c r="C414" t="str">
        <f t="shared" si="25"/>
        <v>November</v>
      </c>
      <c r="D414" t="s">
        <v>277</v>
      </c>
      <c r="E414" t="s">
        <v>19</v>
      </c>
      <c r="F414" t="s">
        <v>27</v>
      </c>
      <c r="G414" t="s">
        <v>28</v>
      </c>
      <c r="H414" t="str">
        <f t="shared" si="26"/>
        <v>High</v>
      </c>
      <c r="I414">
        <v>6330</v>
      </c>
      <c r="J414">
        <v>1361.77</v>
      </c>
      <c r="K414" s="3">
        <f t="shared" si="27"/>
        <v>0.21512954186413902</v>
      </c>
      <c r="L414">
        <v>10</v>
      </c>
      <c r="M414" t="s">
        <v>30</v>
      </c>
    </row>
    <row r="415" spans="1:13" x14ac:dyDescent="0.25">
      <c r="A415">
        <v>1414</v>
      </c>
      <c r="B415">
        <f t="shared" si="24"/>
        <v>2023</v>
      </c>
      <c r="C415" t="str">
        <f t="shared" si="25"/>
        <v>January</v>
      </c>
      <c r="D415" t="s">
        <v>117</v>
      </c>
      <c r="E415" t="s">
        <v>24</v>
      </c>
      <c r="F415" t="s">
        <v>11</v>
      </c>
      <c r="G415" t="s">
        <v>84</v>
      </c>
      <c r="H415" t="str">
        <f t="shared" si="26"/>
        <v>Medium</v>
      </c>
      <c r="I415">
        <v>291</v>
      </c>
      <c r="J415">
        <v>55.43</v>
      </c>
      <c r="K415" s="3">
        <f t="shared" si="27"/>
        <v>0.1904810996563574</v>
      </c>
      <c r="L415">
        <v>3</v>
      </c>
      <c r="M415" t="s">
        <v>22</v>
      </c>
    </row>
    <row r="416" spans="1:13" x14ac:dyDescent="0.25">
      <c r="A416">
        <v>1415</v>
      </c>
      <c r="B416">
        <f t="shared" si="24"/>
        <v>2023</v>
      </c>
      <c r="C416" t="str">
        <f t="shared" si="25"/>
        <v>April</v>
      </c>
      <c r="D416" t="s">
        <v>114</v>
      </c>
      <c r="E416" t="s">
        <v>17</v>
      </c>
      <c r="F416" t="s">
        <v>11</v>
      </c>
      <c r="G416" t="s">
        <v>84</v>
      </c>
      <c r="H416" t="str">
        <f t="shared" si="26"/>
        <v>Medium</v>
      </c>
      <c r="I416">
        <v>342</v>
      </c>
      <c r="J416">
        <v>118.47</v>
      </c>
      <c r="K416" s="3">
        <f t="shared" si="27"/>
        <v>0.34640350877192982</v>
      </c>
      <c r="L416">
        <v>2</v>
      </c>
      <c r="M416" t="s">
        <v>22</v>
      </c>
    </row>
    <row r="417" spans="1:13" x14ac:dyDescent="0.25">
      <c r="A417">
        <v>1416</v>
      </c>
      <c r="B417">
        <f t="shared" si="24"/>
        <v>2023</v>
      </c>
      <c r="C417" t="str">
        <f t="shared" si="25"/>
        <v>May</v>
      </c>
      <c r="D417" t="s">
        <v>9</v>
      </c>
      <c r="E417" t="s">
        <v>10</v>
      </c>
      <c r="F417" t="s">
        <v>27</v>
      </c>
      <c r="G417" t="s">
        <v>28</v>
      </c>
      <c r="H417" t="str">
        <f t="shared" si="26"/>
        <v>High</v>
      </c>
      <c r="I417">
        <v>2960</v>
      </c>
      <c r="J417">
        <v>628.07000000000005</v>
      </c>
      <c r="K417" s="3">
        <f t="shared" si="27"/>
        <v>0.21218581081081084</v>
      </c>
      <c r="L417">
        <v>4</v>
      </c>
      <c r="M417" t="s">
        <v>22</v>
      </c>
    </row>
    <row r="418" spans="1:13" x14ac:dyDescent="0.25">
      <c r="A418">
        <v>1417</v>
      </c>
      <c r="B418">
        <f t="shared" si="24"/>
        <v>2023</v>
      </c>
      <c r="C418" t="str">
        <f t="shared" si="25"/>
        <v>August</v>
      </c>
      <c r="D418" t="s">
        <v>90</v>
      </c>
      <c r="E418" t="s">
        <v>19</v>
      </c>
      <c r="F418" t="s">
        <v>20</v>
      </c>
      <c r="G418" t="s">
        <v>21</v>
      </c>
      <c r="H418" t="str">
        <f t="shared" si="26"/>
        <v>High</v>
      </c>
      <c r="I418">
        <v>6706</v>
      </c>
      <c r="J418">
        <v>544.92999999999995</v>
      </c>
      <c r="K418" s="3">
        <f t="shared" si="27"/>
        <v>8.1260065612883972E-2</v>
      </c>
      <c r="L418">
        <v>7</v>
      </c>
      <c r="M418" t="s">
        <v>13</v>
      </c>
    </row>
    <row r="419" spans="1:13" x14ac:dyDescent="0.25">
      <c r="A419">
        <v>1418</v>
      </c>
      <c r="B419">
        <f t="shared" si="24"/>
        <v>2023</v>
      </c>
      <c r="C419" t="str">
        <f t="shared" si="25"/>
        <v>June</v>
      </c>
      <c r="D419" t="s">
        <v>115</v>
      </c>
      <c r="E419" t="s">
        <v>24</v>
      </c>
      <c r="F419" t="s">
        <v>11</v>
      </c>
      <c r="G419" t="s">
        <v>33</v>
      </c>
      <c r="H419" t="str">
        <f t="shared" si="26"/>
        <v>High</v>
      </c>
      <c r="I419">
        <v>1647</v>
      </c>
      <c r="J419">
        <v>133.59</v>
      </c>
      <c r="K419" s="3">
        <f t="shared" si="27"/>
        <v>8.111111111111112E-2</v>
      </c>
      <c r="L419">
        <v>9</v>
      </c>
      <c r="M419" t="s">
        <v>30</v>
      </c>
    </row>
    <row r="420" spans="1:13" x14ac:dyDescent="0.25">
      <c r="A420">
        <v>1419</v>
      </c>
      <c r="B420">
        <f t="shared" si="24"/>
        <v>2023</v>
      </c>
      <c r="C420" t="str">
        <f t="shared" si="25"/>
        <v>June</v>
      </c>
      <c r="D420" t="s">
        <v>278</v>
      </c>
      <c r="E420" t="s">
        <v>17</v>
      </c>
      <c r="F420" t="s">
        <v>11</v>
      </c>
      <c r="G420" t="s">
        <v>33</v>
      </c>
      <c r="H420" t="str">
        <f t="shared" si="26"/>
        <v>Medium</v>
      </c>
      <c r="I420">
        <v>540</v>
      </c>
      <c r="J420">
        <v>116.59</v>
      </c>
      <c r="K420" s="3">
        <f t="shared" si="27"/>
        <v>0.21590740740740741</v>
      </c>
      <c r="L420">
        <v>5</v>
      </c>
      <c r="M420" t="s">
        <v>13</v>
      </c>
    </row>
    <row r="421" spans="1:13" x14ac:dyDescent="0.25">
      <c r="A421">
        <v>1420</v>
      </c>
      <c r="B421">
        <f t="shared" si="24"/>
        <v>2023</v>
      </c>
      <c r="C421" t="str">
        <f t="shared" si="25"/>
        <v>June</v>
      </c>
      <c r="D421" t="s">
        <v>279</v>
      </c>
      <c r="E421" t="s">
        <v>10</v>
      </c>
      <c r="F421" t="s">
        <v>27</v>
      </c>
      <c r="G421" t="s">
        <v>36</v>
      </c>
      <c r="H421" t="str">
        <f t="shared" si="26"/>
        <v>High</v>
      </c>
      <c r="I421">
        <v>4475</v>
      </c>
      <c r="J421">
        <v>1078.56</v>
      </c>
      <c r="K421" s="3">
        <f t="shared" si="27"/>
        <v>0.24101899441340782</v>
      </c>
      <c r="L421">
        <v>5</v>
      </c>
      <c r="M421" t="s">
        <v>30</v>
      </c>
    </row>
    <row r="422" spans="1:13" x14ac:dyDescent="0.25">
      <c r="A422">
        <v>1421</v>
      </c>
      <c r="B422">
        <f t="shared" si="24"/>
        <v>2023</v>
      </c>
      <c r="C422" t="str">
        <f t="shared" si="25"/>
        <v>September</v>
      </c>
      <c r="D422" t="s">
        <v>97</v>
      </c>
      <c r="E422" t="s">
        <v>17</v>
      </c>
      <c r="F422" t="s">
        <v>27</v>
      </c>
      <c r="G422" t="s">
        <v>95</v>
      </c>
      <c r="H422" t="str">
        <f t="shared" si="26"/>
        <v>High</v>
      </c>
      <c r="I422">
        <v>1908</v>
      </c>
      <c r="J422">
        <v>162.49</v>
      </c>
      <c r="K422" s="3">
        <f t="shared" si="27"/>
        <v>8.5162473794549276E-2</v>
      </c>
      <c r="L422">
        <v>6</v>
      </c>
      <c r="M422" t="s">
        <v>22</v>
      </c>
    </row>
    <row r="423" spans="1:13" x14ac:dyDescent="0.25">
      <c r="A423">
        <v>1422</v>
      </c>
      <c r="B423">
        <f t="shared" si="24"/>
        <v>2023</v>
      </c>
      <c r="C423" t="str">
        <f t="shared" si="25"/>
        <v>January</v>
      </c>
      <c r="D423" t="s">
        <v>259</v>
      </c>
      <c r="E423" t="s">
        <v>17</v>
      </c>
      <c r="F423" t="s">
        <v>20</v>
      </c>
      <c r="G423" t="s">
        <v>21</v>
      </c>
      <c r="H423" t="str">
        <f t="shared" si="26"/>
        <v>High</v>
      </c>
      <c r="I423">
        <v>11130</v>
      </c>
      <c r="J423">
        <v>1992.04</v>
      </c>
      <c r="K423" s="3">
        <f t="shared" si="27"/>
        <v>0.17897933513027853</v>
      </c>
      <c r="L423">
        <v>10</v>
      </c>
      <c r="M423" t="s">
        <v>13</v>
      </c>
    </row>
    <row r="424" spans="1:13" x14ac:dyDescent="0.25">
      <c r="A424">
        <v>1423</v>
      </c>
      <c r="B424">
        <f t="shared" si="24"/>
        <v>2023</v>
      </c>
      <c r="C424" t="str">
        <f t="shared" si="25"/>
        <v>May</v>
      </c>
      <c r="D424" t="s">
        <v>280</v>
      </c>
      <c r="E424" t="s">
        <v>19</v>
      </c>
      <c r="F424" t="s">
        <v>11</v>
      </c>
      <c r="G424" t="s">
        <v>12</v>
      </c>
      <c r="H424" t="str">
        <f t="shared" si="26"/>
        <v>Low</v>
      </c>
      <c r="I424">
        <v>198</v>
      </c>
      <c r="J424">
        <v>51.23</v>
      </c>
      <c r="K424" s="3">
        <f t="shared" si="27"/>
        <v>0.25873737373737371</v>
      </c>
      <c r="L424">
        <v>9</v>
      </c>
      <c r="M424" t="s">
        <v>13</v>
      </c>
    </row>
    <row r="425" spans="1:13" x14ac:dyDescent="0.25">
      <c r="A425">
        <v>1424</v>
      </c>
      <c r="B425">
        <f t="shared" si="24"/>
        <v>2023</v>
      </c>
      <c r="C425" t="str">
        <f t="shared" si="25"/>
        <v>March</v>
      </c>
      <c r="D425" t="s">
        <v>135</v>
      </c>
      <c r="E425" t="s">
        <v>10</v>
      </c>
      <c r="F425" t="s">
        <v>11</v>
      </c>
      <c r="G425" t="s">
        <v>12</v>
      </c>
      <c r="H425" t="str">
        <f t="shared" si="26"/>
        <v>Medium</v>
      </c>
      <c r="I425">
        <v>287</v>
      </c>
      <c r="J425">
        <v>65.37</v>
      </c>
      <c r="K425" s="3">
        <f t="shared" si="27"/>
        <v>0.2277700348432056</v>
      </c>
      <c r="L425">
        <v>7</v>
      </c>
      <c r="M425" t="s">
        <v>13</v>
      </c>
    </row>
    <row r="426" spans="1:13" x14ac:dyDescent="0.25">
      <c r="A426">
        <v>1425</v>
      </c>
      <c r="B426">
        <f t="shared" si="24"/>
        <v>2023</v>
      </c>
      <c r="C426" t="str">
        <f t="shared" si="25"/>
        <v>December</v>
      </c>
      <c r="D426" t="s">
        <v>245</v>
      </c>
      <c r="E426" t="s">
        <v>17</v>
      </c>
      <c r="F426" t="s">
        <v>27</v>
      </c>
      <c r="G426" t="s">
        <v>36</v>
      </c>
      <c r="H426" t="str">
        <f t="shared" si="26"/>
        <v>Medium</v>
      </c>
      <c r="I426">
        <v>580</v>
      </c>
      <c r="J426">
        <v>62.21</v>
      </c>
      <c r="K426" s="3">
        <f t="shared" si="27"/>
        <v>0.10725862068965518</v>
      </c>
      <c r="L426">
        <v>1</v>
      </c>
      <c r="M426" t="s">
        <v>13</v>
      </c>
    </row>
    <row r="427" spans="1:13" x14ac:dyDescent="0.25">
      <c r="A427">
        <v>1426</v>
      </c>
      <c r="B427">
        <f t="shared" si="24"/>
        <v>2023</v>
      </c>
      <c r="C427" t="str">
        <f t="shared" si="25"/>
        <v>February</v>
      </c>
      <c r="D427" t="s">
        <v>229</v>
      </c>
      <c r="E427" t="s">
        <v>17</v>
      </c>
      <c r="F427" t="s">
        <v>11</v>
      </c>
      <c r="G427" t="s">
        <v>44</v>
      </c>
      <c r="H427" t="str">
        <f t="shared" si="26"/>
        <v>Medium</v>
      </c>
      <c r="I427">
        <v>351</v>
      </c>
      <c r="J427">
        <v>102.45</v>
      </c>
      <c r="K427" s="3">
        <f t="shared" si="27"/>
        <v>0.2918803418803419</v>
      </c>
      <c r="L427">
        <v>9</v>
      </c>
      <c r="M427" t="s">
        <v>22</v>
      </c>
    </row>
    <row r="428" spans="1:13" x14ac:dyDescent="0.25">
      <c r="A428">
        <v>1427</v>
      </c>
      <c r="B428">
        <f t="shared" si="24"/>
        <v>2023</v>
      </c>
      <c r="C428" t="str">
        <f t="shared" si="25"/>
        <v>September</v>
      </c>
      <c r="D428" t="s">
        <v>98</v>
      </c>
      <c r="E428" t="s">
        <v>17</v>
      </c>
      <c r="F428" t="s">
        <v>27</v>
      </c>
      <c r="G428" t="s">
        <v>36</v>
      </c>
      <c r="H428" t="str">
        <f t="shared" si="26"/>
        <v>High</v>
      </c>
      <c r="I428">
        <v>3480</v>
      </c>
      <c r="J428">
        <v>555.91</v>
      </c>
      <c r="K428" s="3">
        <f t="shared" si="27"/>
        <v>0.1597442528735632</v>
      </c>
      <c r="L428">
        <v>4</v>
      </c>
      <c r="M428" t="s">
        <v>22</v>
      </c>
    </row>
    <row r="429" spans="1:13" x14ac:dyDescent="0.25">
      <c r="A429">
        <v>1428</v>
      </c>
      <c r="B429">
        <f t="shared" si="24"/>
        <v>2023</v>
      </c>
      <c r="C429" t="str">
        <f t="shared" si="25"/>
        <v>December</v>
      </c>
      <c r="D429" t="s">
        <v>265</v>
      </c>
      <c r="E429" t="s">
        <v>19</v>
      </c>
      <c r="F429" t="s">
        <v>20</v>
      </c>
      <c r="G429" t="s">
        <v>39</v>
      </c>
      <c r="H429" t="str">
        <f t="shared" si="26"/>
        <v>High</v>
      </c>
      <c r="I429">
        <v>6056</v>
      </c>
      <c r="J429">
        <v>505.33</v>
      </c>
      <c r="K429" s="3">
        <f t="shared" si="27"/>
        <v>8.3442866578599728E-2</v>
      </c>
      <c r="L429">
        <v>8</v>
      </c>
      <c r="M429" t="s">
        <v>30</v>
      </c>
    </row>
    <row r="430" spans="1:13" x14ac:dyDescent="0.25">
      <c r="A430">
        <v>1429</v>
      </c>
      <c r="B430">
        <f t="shared" si="24"/>
        <v>2023</v>
      </c>
      <c r="C430" t="str">
        <f t="shared" si="25"/>
        <v>February</v>
      </c>
      <c r="D430" t="s">
        <v>113</v>
      </c>
      <c r="E430" t="s">
        <v>19</v>
      </c>
      <c r="F430" t="s">
        <v>20</v>
      </c>
      <c r="G430" t="s">
        <v>42</v>
      </c>
      <c r="H430" t="str">
        <f t="shared" si="26"/>
        <v>High</v>
      </c>
      <c r="I430">
        <v>2097</v>
      </c>
      <c r="J430">
        <v>225.11</v>
      </c>
      <c r="K430" s="3">
        <f t="shared" si="27"/>
        <v>0.10734859322842157</v>
      </c>
      <c r="L430">
        <v>9</v>
      </c>
      <c r="M430" t="s">
        <v>30</v>
      </c>
    </row>
    <row r="431" spans="1:13" x14ac:dyDescent="0.25">
      <c r="A431">
        <v>1430</v>
      </c>
      <c r="B431">
        <f t="shared" si="24"/>
        <v>2023</v>
      </c>
      <c r="C431" t="str">
        <f t="shared" si="25"/>
        <v>May</v>
      </c>
      <c r="D431" t="s">
        <v>23</v>
      </c>
      <c r="E431" t="s">
        <v>19</v>
      </c>
      <c r="F431" t="s">
        <v>27</v>
      </c>
      <c r="G431" t="s">
        <v>36</v>
      </c>
      <c r="H431" t="str">
        <f t="shared" si="26"/>
        <v>High</v>
      </c>
      <c r="I431">
        <v>2016</v>
      </c>
      <c r="J431">
        <v>637.09</v>
      </c>
      <c r="K431" s="3">
        <f t="shared" si="27"/>
        <v>0.31601686507936511</v>
      </c>
      <c r="L431">
        <v>8</v>
      </c>
      <c r="M431" t="s">
        <v>22</v>
      </c>
    </row>
    <row r="432" spans="1:13" x14ac:dyDescent="0.25">
      <c r="A432">
        <v>1431</v>
      </c>
      <c r="B432">
        <f t="shared" si="24"/>
        <v>2023</v>
      </c>
      <c r="C432" t="str">
        <f t="shared" si="25"/>
        <v>March</v>
      </c>
      <c r="D432" t="s">
        <v>135</v>
      </c>
      <c r="E432" t="s">
        <v>24</v>
      </c>
      <c r="F432" t="s">
        <v>27</v>
      </c>
      <c r="G432" t="s">
        <v>73</v>
      </c>
      <c r="H432" t="str">
        <f t="shared" si="26"/>
        <v>Medium</v>
      </c>
      <c r="I432">
        <v>318</v>
      </c>
      <c r="J432">
        <v>82.4</v>
      </c>
      <c r="K432" s="3">
        <f t="shared" si="27"/>
        <v>0.25911949685534591</v>
      </c>
      <c r="L432">
        <v>2</v>
      </c>
      <c r="M432" t="s">
        <v>22</v>
      </c>
    </row>
    <row r="433" spans="1:13" x14ac:dyDescent="0.25">
      <c r="A433">
        <v>1432</v>
      </c>
      <c r="B433">
        <f t="shared" si="24"/>
        <v>2023</v>
      </c>
      <c r="C433" t="str">
        <f t="shared" si="25"/>
        <v>November</v>
      </c>
      <c r="D433" t="s">
        <v>281</v>
      </c>
      <c r="E433" t="s">
        <v>24</v>
      </c>
      <c r="F433" t="s">
        <v>20</v>
      </c>
      <c r="G433" t="s">
        <v>25</v>
      </c>
      <c r="H433" t="str">
        <f t="shared" si="26"/>
        <v>High</v>
      </c>
      <c r="I433">
        <v>1350</v>
      </c>
      <c r="J433">
        <v>174.66</v>
      </c>
      <c r="K433" s="3">
        <f t="shared" si="27"/>
        <v>0.12937777777777779</v>
      </c>
      <c r="L433">
        <v>5</v>
      </c>
      <c r="M433" t="s">
        <v>22</v>
      </c>
    </row>
    <row r="434" spans="1:13" x14ac:dyDescent="0.25">
      <c r="A434">
        <v>1433</v>
      </c>
      <c r="B434">
        <f t="shared" si="24"/>
        <v>2023</v>
      </c>
      <c r="C434" t="str">
        <f t="shared" si="25"/>
        <v>July</v>
      </c>
      <c r="D434" t="s">
        <v>282</v>
      </c>
      <c r="E434" t="s">
        <v>19</v>
      </c>
      <c r="F434" t="s">
        <v>27</v>
      </c>
      <c r="G434" t="s">
        <v>95</v>
      </c>
      <c r="H434" t="str">
        <f t="shared" si="26"/>
        <v>High</v>
      </c>
      <c r="I434">
        <v>6512</v>
      </c>
      <c r="J434">
        <v>719.74</v>
      </c>
      <c r="K434" s="3">
        <f t="shared" si="27"/>
        <v>0.11052518427518428</v>
      </c>
      <c r="L434">
        <v>8</v>
      </c>
      <c r="M434" t="s">
        <v>22</v>
      </c>
    </row>
    <row r="435" spans="1:13" x14ac:dyDescent="0.25">
      <c r="A435">
        <v>1434</v>
      </c>
      <c r="B435">
        <f t="shared" si="24"/>
        <v>2023</v>
      </c>
      <c r="C435" t="str">
        <f t="shared" si="25"/>
        <v>August</v>
      </c>
      <c r="D435" t="s">
        <v>273</v>
      </c>
      <c r="E435" t="s">
        <v>17</v>
      </c>
      <c r="F435" t="s">
        <v>11</v>
      </c>
      <c r="G435" t="s">
        <v>12</v>
      </c>
      <c r="H435" t="str">
        <f t="shared" si="26"/>
        <v>High</v>
      </c>
      <c r="I435">
        <v>1830</v>
      </c>
      <c r="J435">
        <v>362.9</v>
      </c>
      <c r="K435" s="3">
        <f t="shared" si="27"/>
        <v>0.19830601092896175</v>
      </c>
      <c r="L435">
        <v>10</v>
      </c>
      <c r="M435" t="s">
        <v>30</v>
      </c>
    </row>
    <row r="436" spans="1:13" x14ac:dyDescent="0.25">
      <c r="A436">
        <v>1435</v>
      </c>
      <c r="B436">
        <f t="shared" si="24"/>
        <v>2023</v>
      </c>
      <c r="C436" t="str">
        <f t="shared" si="25"/>
        <v>January</v>
      </c>
      <c r="D436" t="s">
        <v>100</v>
      </c>
      <c r="E436" t="s">
        <v>24</v>
      </c>
      <c r="F436" t="s">
        <v>11</v>
      </c>
      <c r="G436" t="s">
        <v>84</v>
      </c>
      <c r="H436" t="str">
        <f t="shared" si="26"/>
        <v>Low</v>
      </c>
      <c r="I436">
        <v>114</v>
      </c>
      <c r="J436">
        <v>36.44</v>
      </c>
      <c r="K436" s="3">
        <f t="shared" si="27"/>
        <v>0.31964912280701752</v>
      </c>
      <c r="L436">
        <v>3</v>
      </c>
      <c r="M436" t="s">
        <v>13</v>
      </c>
    </row>
    <row r="437" spans="1:13" x14ac:dyDescent="0.25">
      <c r="A437">
        <v>1436</v>
      </c>
      <c r="B437">
        <f t="shared" si="24"/>
        <v>2023</v>
      </c>
      <c r="C437" t="str">
        <f t="shared" si="25"/>
        <v>December</v>
      </c>
      <c r="D437" t="s">
        <v>136</v>
      </c>
      <c r="E437" t="s">
        <v>10</v>
      </c>
      <c r="F437" t="s">
        <v>27</v>
      </c>
      <c r="G437" t="s">
        <v>28</v>
      </c>
      <c r="H437" t="str">
        <f t="shared" si="26"/>
        <v>High</v>
      </c>
      <c r="I437">
        <v>5226</v>
      </c>
      <c r="J437">
        <v>1158.6099999999999</v>
      </c>
      <c r="K437" s="3">
        <f t="shared" si="27"/>
        <v>0.22170110983543817</v>
      </c>
      <c r="L437">
        <v>6</v>
      </c>
      <c r="M437" t="s">
        <v>22</v>
      </c>
    </row>
    <row r="438" spans="1:13" x14ac:dyDescent="0.25">
      <c r="A438">
        <v>1437</v>
      </c>
      <c r="B438">
        <f t="shared" si="24"/>
        <v>2023</v>
      </c>
      <c r="C438" t="str">
        <f t="shared" si="25"/>
        <v>June</v>
      </c>
      <c r="D438" t="s">
        <v>53</v>
      </c>
      <c r="E438" t="s">
        <v>17</v>
      </c>
      <c r="F438" t="s">
        <v>11</v>
      </c>
      <c r="G438" t="s">
        <v>15</v>
      </c>
      <c r="H438" t="str">
        <f t="shared" si="26"/>
        <v>High</v>
      </c>
      <c r="I438">
        <v>1701</v>
      </c>
      <c r="J438">
        <v>420.02</v>
      </c>
      <c r="K438" s="3">
        <f t="shared" si="27"/>
        <v>0.24692533803644914</v>
      </c>
      <c r="L438">
        <v>9</v>
      </c>
      <c r="M438" t="s">
        <v>13</v>
      </c>
    </row>
    <row r="439" spans="1:13" x14ac:dyDescent="0.25">
      <c r="A439">
        <v>1438</v>
      </c>
      <c r="B439">
        <f t="shared" si="24"/>
        <v>2023</v>
      </c>
      <c r="C439" t="str">
        <f t="shared" si="25"/>
        <v>December</v>
      </c>
      <c r="D439" t="s">
        <v>102</v>
      </c>
      <c r="E439" t="s">
        <v>19</v>
      </c>
      <c r="F439" t="s">
        <v>27</v>
      </c>
      <c r="G439" t="s">
        <v>36</v>
      </c>
      <c r="H439" t="str">
        <f t="shared" si="26"/>
        <v>High</v>
      </c>
      <c r="I439">
        <v>5047</v>
      </c>
      <c r="J439">
        <v>478.12</v>
      </c>
      <c r="K439" s="3">
        <f t="shared" si="27"/>
        <v>9.4733505052506439E-2</v>
      </c>
      <c r="L439">
        <v>7</v>
      </c>
      <c r="M439" t="s">
        <v>22</v>
      </c>
    </row>
    <row r="440" spans="1:13" x14ac:dyDescent="0.25">
      <c r="A440">
        <v>1439</v>
      </c>
      <c r="B440">
        <f t="shared" si="24"/>
        <v>2023</v>
      </c>
      <c r="C440" t="str">
        <f t="shared" si="25"/>
        <v>March</v>
      </c>
      <c r="D440" t="s">
        <v>256</v>
      </c>
      <c r="E440" t="s">
        <v>19</v>
      </c>
      <c r="F440" t="s">
        <v>11</v>
      </c>
      <c r="G440" t="s">
        <v>33</v>
      </c>
      <c r="H440" t="str">
        <f t="shared" si="26"/>
        <v>Low</v>
      </c>
      <c r="I440">
        <v>142</v>
      </c>
      <c r="J440">
        <v>24.05</v>
      </c>
      <c r="K440" s="3">
        <f t="shared" si="27"/>
        <v>0.16936619718309859</v>
      </c>
      <c r="L440">
        <v>2</v>
      </c>
      <c r="M440" t="s">
        <v>22</v>
      </c>
    </row>
    <row r="441" spans="1:13" x14ac:dyDescent="0.25">
      <c r="A441">
        <v>1440</v>
      </c>
      <c r="B441">
        <f t="shared" si="24"/>
        <v>2023</v>
      </c>
      <c r="C441" t="str">
        <f t="shared" si="25"/>
        <v>November</v>
      </c>
      <c r="D441" t="s">
        <v>35</v>
      </c>
      <c r="E441" t="s">
        <v>17</v>
      </c>
      <c r="F441" t="s">
        <v>27</v>
      </c>
      <c r="G441" t="s">
        <v>28</v>
      </c>
      <c r="H441" t="str">
        <f t="shared" si="26"/>
        <v>High</v>
      </c>
      <c r="I441">
        <v>2730</v>
      </c>
      <c r="J441">
        <v>556.79999999999995</v>
      </c>
      <c r="K441" s="3">
        <f t="shared" si="27"/>
        <v>0.20395604395604394</v>
      </c>
      <c r="L441">
        <v>7</v>
      </c>
      <c r="M441" t="s">
        <v>13</v>
      </c>
    </row>
    <row r="442" spans="1:13" x14ac:dyDescent="0.25">
      <c r="A442">
        <v>1441</v>
      </c>
      <c r="B442">
        <f t="shared" si="24"/>
        <v>2023</v>
      </c>
      <c r="C442" t="str">
        <f t="shared" si="25"/>
        <v>August</v>
      </c>
      <c r="D442" t="s">
        <v>122</v>
      </c>
      <c r="E442" t="s">
        <v>10</v>
      </c>
      <c r="F442" t="s">
        <v>11</v>
      </c>
      <c r="G442" t="s">
        <v>84</v>
      </c>
      <c r="H442" t="str">
        <f t="shared" si="26"/>
        <v>High</v>
      </c>
      <c r="I442">
        <v>1200</v>
      </c>
      <c r="J442">
        <v>307.69</v>
      </c>
      <c r="K442" s="3">
        <f t="shared" si="27"/>
        <v>0.25640833333333335</v>
      </c>
      <c r="L442">
        <v>6</v>
      </c>
      <c r="M442" t="s">
        <v>22</v>
      </c>
    </row>
    <row r="443" spans="1:13" x14ac:dyDescent="0.25">
      <c r="A443">
        <v>1442</v>
      </c>
      <c r="B443">
        <f t="shared" si="24"/>
        <v>2023</v>
      </c>
      <c r="C443" t="str">
        <f t="shared" si="25"/>
        <v>October</v>
      </c>
      <c r="D443" t="s">
        <v>283</v>
      </c>
      <c r="E443" t="s">
        <v>19</v>
      </c>
      <c r="F443" t="s">
        <v>20</v>
      </c>
      <c r="G443" t="s">
        <v>55</v>
      </c>
      <c r="H443" t="str">
        <f t="shared" si="26"/>
        <v>High</v>
      </c>
      <c r="I443">
        <v>720</v>
      </c>
      <c r="J443">
        <v>244.84</v>
      </c>
      <c r="K443" s="3">
        <f t="shared" si="27"/>
        <v>0.34005555555555556</v>
      </c>
      <c r="L443">
        <v>9</v>
      </c>
      <c r="M443" t="s">
        <v>30</v>
      </c>
    </row>
    <row r="444" spans="1:13" x14ac:dyDescent="0.25">
      <c r="A444">
        <v>1443</v>
      </c>
      <c r="B444">
        <f t="shared" si="24"/>
        <v>2023</v>
      </c>
      <c r="C444" t="str">
        <f t="shared" si="25"/>
        <v>December</v>
      </c>
      <c r="D444" t="s">
        <v>31</v>
      </c>
      <c r="E444" t="s">
        <v>17</v>
      </c>
      <c r="F444" t="s">
        <v>11</v>
      </c>
      <c r="G444" t="s">
        <v>44</v>
      </c>
      <c r="H444" t="str">
        <f t="shared" si="26"/>
        <v>Low</v>
      </c>
      <c r="I444">
        <v>184</v>
      </c>
      <c r="J444">
        <v>55.29</v>
      </c>
      <c r="K444" s="3">
        <f t="shared" si="27"/>
        <v>0.30048913043478259</v>
      </c>
      <c r="L444">
        <v>8</v>
      </c>
      <c r="M444" t="s">
        <v>13</v>
      </c>
    </row>
    <row r="445" spans="1:13" x14ac:dyDescent="0.25">
      <c r="A445">
        <v>1444</v>
      </c>
      <c r="B445">
        <f t="shared" si="24"/>
        <v>2023</v>
      </c>
      <c r="C445" t="str">
        <f t="shared" si="25"/>
        <v>December</v>
      </c>
      <c r="D445" t="s">
        <v>168</v>
      </c>
      <c r="E445" t="s">
        <v>19</v>
      </c>
      <c r="F445" t="s">
        <v>27</v>
      </c>
      <c r="G445" t="s">
        <v>73</v>
      </c>
      <c r="H445" t="str">
        <f t="shared" si="26"/>
        <v>High</v>
      </c>
      <c r="I445">
        <v>1596</v>
      </c>
      <c r="J445">
        <v>454.89</v>
      </c>
      <c r="K445" s="3">
        <f t="shared" si="27"/>
        <v>0.28501879699248117</v>
      </c>
      <c r="L445">
        <v>6</v>
      </c>
      <c r="M445" t="s">
        <v>13</v>
      </c>
    </row>
    <row r="446" spans="1:13" x14ac:dyDescent="0.25">
      <c r="A446">
        <v>1445</v>
      </c>
      <c r="B446">
        <f t="shared" si="24"/>
        <v>2023</v>
      </c>
      <c r="C446" t="str">
        <f t="shared" si="25"/>
        <v>November</v>
      </c>
      <c r="D446" t="s">
        <v>277</v>
      </c>
      <c r="E446" t="s">
        <v>24</v>
      </c>
      <c r="F446" t="s">
        <v>20</v>
      </c>
      <c r="G446" t="s">
        <v>42</v>
      </c>
      <c r="H446" t="str">
        <f t="shared" si="26"/>
        <v>High</v>
      </c>
      <c r="I446">
        <v>5745</v>
      </c>
      <c r="J446">
        <v>624.52</v>
      </c>
      <c r="K446" s="3">
        <f t="shared" si="27"/>
        <v>0.10870670147954743</v>
      </c>
      <c r="L446">
        <v>5</v>
      </c>
      <c r="M446" t="s">
        <v>22</v>
      </c>
    </row>
    <row r="447" spans="1:13" x14ac:dyDescent="0.25">
      <c r="A447">
        <v>1446</v>
      </c>
      <c r="B447">
        <f t="shared" si="24"/>
        <v>2023</v>
      </c>
      <c r="C447" t="str">
        <f t="shared" si="25"/>
        <v>July</v>
      </c>
      <c r="D447" t="s">
        <v>284</v>
      </c>
      <c r="E447" t="s">
        <v>17</v>
      </c>
      <c r="F447" t="s">
        <v>20</v>
      </c>
      <c r="G447" t="s">
        <v>55</v>
      </c>
      <c r="H447" t="str">
        <f t="shared" si="26"/>
        <v>High</v>
      </c>
      <c r="I447">
        <v>1200</v>
      </c>
      <c r="J447">
        <v>156.76</v>
      </c>
      <c r="K447" s="3">
        <f t="shared" si="27"/>
        <v>0.13063333333333332</v>
      </c>
      <c r="L447">
        <v>2</v>
      </c>
      <c r="M447" t="s">
        <v>13</v>
      </c>
    </row>
    <row r="448" spans="1:13" x14ac:dyDescent="0.25">
      <c r="A448">
        <v>1447</v>
      </c>
      <c r="B448">
        <f t="shared" si="24"/>
        <v>2023</v>
      </c>
      <c r="C448" t="str">
        <f t="shared" si="25"/>
        <v>June</v>
      </c>
      <c r="D448" t="s">
        <v>53</v>
      </c>
      <c r="E448" t="s">
        <v>19</v>
      </c>
      <c r="F448" t="s">
        <v>27</v>
      </c>
      <c r="G448" t="s">
        <v>36</v>
      </c>
      <c r="H448" t="str">
        <f t="shared" si="26"/>
        <v>Medium</v>
      </c>
      <c r="I448">
        <v>394</v>
      </c>
      <c r="J448">
        <v>120.61</v>
      </c>
      <c r="K448" s="3">
        <f t="shared" si="27"/>
        <v>0.30611675126903554</v>
      </c>
      <c r="L448">
        <v>2</v>
      </c>
      <c r="M448" t="s">
        <v>30</v>
      </c>
    </row>
    <row r="449" spans="1:13" x14ac:dyDescent="0.25">
      <c r="A449">
        <v>1448</v>
      </c>
      <c r="B449">
        <f t="shared" si="24"/>
        <v>2023</v>
      </c>
      <c r="C449" t="str">
        <f t="shared" si="25"/>
        <v>December</v>
      </c>
      <c r="D449" t="s">
        <v>285</v>
      </c>
      <c r="E449" t="s">
        <v>19</v>
      </c>
      <c r="F449" t="s">
        <v>11</v>
      </c>
      <c r="G449" t="s">
        <v>12</v>
      </c>
      <c r="H449" t="str">
        <f t="shared" si="26"/>
        <v>High</v>
      </c>
      <c r="I449">
        <v>1370</v>
      </c>
      <c r="J449">
        <v>111.2</v>
      </c>
      <c r="K449" s="3">
        <f t="shared" si="27"/>
        <v>8.1167883211678837E-2</v>
      </c>
      <c r="L449">
        <v>10</v>
      </c>
      <c r="M449" t="s">
        <v>22</v>
      </c>
    </row>
    <row r="450" spans="1:13" x14ac:dyDescent="0.25">
      <c r="A450">
        <v>1449</v>
      </c>
      <c r="B450">
        <f t="shared" ref="B450:B513" si="28">YEAR(D450)</f>
        <v>2023</v>
      </c>
      <c r="C450" t="str">
        <f t="shared" ref="C450:C513" si="29">TEXT(D450,"mmmm")</f>
        <v>September</v>
      </c>
      <c r="D450" t="s">
        <v>286</v>
      </c>
      <c r="E450" t="s">
        <v>19</v>
      </c>
      <c r="F450" t="s">
        <v>11</v>
      </c>
      <c r="G450" t="s">
        <v>12</v>
      </c>
      <c r="H450" t="str">
        <f t="shared" ref="H450:H513" si="30">IF(I450&lt;=200,"Low",IF(I450&lt;=600,"Medium","High"))</f>
        <v>High</v>
      </c>
      <c r="I450">
        <v>1422</v>
      </c>
      <c r="J450">
        <v>180.43</v>
      </c>
      <c r="K450" s="3">
        <f t="shared" ref="K450:K513" si="31">J450/I450</f>
        <v>0.12688466947960619</v>
      </c>
      <c r="L450">
        <v>9</v>
      </c>
      <c r="M450" t="s">
        <v>13</v>
      </c>
    </row>
    <row r="451" spans="1:13" x14ac:dyDescent="0.25">
      <c r="A451">
        <v>1450</v>
      </c>
      <c r="B451">
        <f t="shared" si="28"/>
        <v>2023</v>
      </c>
      <c r="C451" t="str">
        <f t="shared" si="29"/>
        <v>November</v>
      </c>
      <c r="D451" t="s">
        <v>287</v>
      </c>
      <c r="E451" t="s">
        <v>19</v>
      </c>
      <c r="F451" t="s">
        <v>20</v>
      </c>
      <c r="G451" t="s">
        <v>42</v>
      </c>
      <c r="H451" t="str">
        <f t="shared" si="30"/>
        <v>High</v>
      </c>
      <c r="I451">
        <v>7390</v>
      </c>
      <c r="J451">
        <v>1426.56</v>
      </c>
      <c r="K451" s="3">
        <f t="shared" si="31"/>
        <v>0.19303924221921515</v>
      </c>
      <c r="L451">
        <v>10</v>
      </c>
      <c r="M451" t="s">
        <v>13</v>
      </c>
    </row>
    <row r="452" spans="1:13" x14ac:dyDescent="0.25">
      <c r="A452">
        <v>1451</v>
      </c>
      <c r="B452">
        <f t="shared" si="28"/>
        <v>2023</v>
      </c>
      <c r="C452" t="str">
        <f t="shared" si="29"/>
        <v>June</v>
      </c>
      <c r="D452" t="s">
        <v>196</v>
      </c>
      <c r="E452" t="s">
        <v>24</v>
      </c>
      <c r="F452" t="s">
        <v>11</v>
      </c>
      <c r="G452" t="s">
        <v>33</v>
      </c>
      <c r="H452" t="str">
        <f t="shared" si="30"/>
        <v>Medium</v>
      </c>
      <c r="I452">
        <v>225</v>
      </c>
      <c r="J452">
        <v>43.07</v>
      </c>
      <c r="K452" s="3">
        <f t="shared" si="31"/>
        <v>0.19142222222222222</v>
      </c>
      <c r="L452">
        <v>5</v>
      </c>
      <c r="M452" t="s">
        <v>22</v>
      </c>
    </row>
    <row r="453" spans="1:13" x14ac:dyDescent="0.25">
      <c r="A453">
        <v>1452</v>
      </c>
      <c r="B453">
        <f t="shared" si="28"/>
        <v>2023</v>
      </c>
      <c r="C453" t="str">
        <f t="shared" si="29"/>
        <v>October</v>
      </c>
      <c r="D453" t="s">
        <v>78</v>
      </c>
      <c r="E453" t="s">
        <v>24</v>
      </c>
      <c r="F453" t="s">
        <v>11</v>
      </c>
      <c r="G453" t="s">
        <v>15</v>
      </c>
      <c r="H453" t="str">
        <f t="shared" si="30"/>
        <v>Medium</v>
      </c>
      <c r="I453">
        <v>378</v>
      </c>
      <c r="J453">
        <v>93.94</v>
      </c>
      <c r="K453" s="3">
        <f t="shared" si="31"/>
        <v>0.2485185185185185</v>
      </c>
      <c r="L453">
        <v>6</v>
      </c>
      <c r="M453" t="s">
        <v>13</v>
      </c>
    </row>
    <row r="454" spans="1:13" x14ac:dyDescent="0.25">
      <c r="A454">
        <v>1453</v>
      </c>
      <c r="B454">
        <f t="shared" si="28"/>
        <v>2023</v>
      </c>
      <c r="C454" t="str">
        <f t="shared" si="29"/>
        <v>November</v>
      </c>
      <c r="D454" t="s">
        <v>16</v>
      </c>
      <c r="E454" t="s">
        <v>17</v>
      </c>
      <c r="F454" t="s">
        <v>27</v>
      </c>
      <c r="G454" t="s">
        <v>73</v>
      </c>
      <c r="H454" t="str">
        <f t="shared" si="30"/>
        <v>High</v>
      </c>
      <c r="I454">
        <v>2115</v>
      </c>
      <c r="J454">
        <v>532.89</v>
      </c>
      <c r="K454" s="3">
        <f t="shared" si="31"/>
        <v>0.25195744680851062</v>
      </c>
      <c r="L454">
        <v>3</v>
      </c>
      <c r="M454" t="s">
        <v>13</v>
      </c>
    </row>
    <row r="455" spans="1:13" x14ac:dyDescent="0.25">
      <c r="A455">
        <v>1454</v>
      </c>
      <c r="B455">
        <f t="shared" si="28"/>
        <v>2023</v>
      </c>
      <c r="C455" t="str">
        <f t="shared" si="29"/>
        <v>September</v>
      </c>
      <c r="D455" t="s">
        <v>169</v>
      </c>
      <c r="E455" t="s">
        <v>24</v>
      </c>
      <c r="F455" t="s">
        <v>11</v>
      </c>
      <c r="G455" t="s">
        <v>12</v>
      </c>
      <c r="H455" t="str">
        <f t="shared" si="30"/>
        <v>High</v>
      </c>
      <c r="I455">
        <v>1460</v>
      </c>
      <c r="J455">
        <v>229.51</v>
      </c>
      <c r="K455" s="3">
        <f t="shared" si="31"/>
        <v>0.15719863013698629</v>
      </c>
      <c r="L455">
        <v>10</v>
      </c>
      <c r="M455" t="s">
        <v>13</v>
      </c>
    </row>
    <row r="456" spans="1:13" x14ac:dyDescent="0.25">
      <c r="A456">
        <v>1455</v>
      </c>
      <c r="B456">
        <f t="shared" si="28"/>
        <v>2023</v>
      </c>
      <c r="C456" t="str">
        <f t="shared" si="29"/>
        <v>July</v>
      </c>
      <c r="D456" t="s">
        <v>160</v>
      </c>
      <c r="E456" t="s">
        <v>10</v>
      </c>
      <c r="F456" t="s">
        <v>27</v>
      </c>
      <c r="G456" t="s">
        <v>28</v>
      </c>
      <c r="H456" t="str">
        <f t="shared" si="30"/>
        <v>High</v>
      </c>
      <c r="I456">
        <v>2508</v>
      </c>
      <c r="J456">
        <v>336.01</v>
      </c>
      <c r="K456" s="3">
        <f t="shared" si="31"/>
        <v>0.13397527910685805</v>
      </c>
      <c r="L456">
        <v>3</v>
      </c>
      <c r="M456" t="s">
        <v>30</v>
      </c>
    </row>
    <row r="457" spans="1:13" x14ac:dyDescent="0.25">
      <c r="A457">
        <v>1456</v>
      </c>
      <c r="B457">
        <f t="shared" si="28"/>
        <v>2023</v>
      </c>
      <c r="C457" t="str">
        <f t="shared" si="29"/>
        <v>February</v>
      </c>
      <c r="D457" t="s">
        <v>87</v>
      </c>
      <c r="E457" t="s">
        <v>24</v>
      </c>
      <c r="F457" t="s">
        <v>20</v>
      </c>
      <c r="G457" t="s">
        <v>25</v>
      </c>
      <c r="H457" t="str">
        <f t="shared" si="30"/>
        <v>High</v>
      </c>
      <c r="I457">
        <v>2485</v>
      </c>
      <c r="J457">
        <v>439.46</v>
      </c>
      <c r="K457" s="3">
        <f t="shared" si="31"/>
        <v>0.17684507042253519</v>
      </c>
      <c r="L457">
        <v>5</v>
      </c>
      <c r="M457" t="s">
        <v>30</v>
      </c>
    </row>
    <row r="458" spans="1:13" x14ac:dyDescent="0.25">
      <c r="A458">
        <v>1457</v>
      </c>
      <c r="B458">
        <f t="shared" si="28"/>
        <v>2023</v>
      </c>
      <c r="C458" t="str">
        <f t="shared" si="29"/>
        <v>November</v>
      </c>
      <c r="D458" t="s">
        <v>171</v>
      </c>
      <c r="E458" t="s">
        <v>17</v>
      </c>
      <c r="F458" t="s">
        <v>27</v>
      </c>
      <c r="G458" t="s">
        <v>28</v>
      </c>
      <c r="H458" t="str">
        <f t="shared" si="30"/>
        <v>High</v>
      </c>
      <c r="I458">
        <v>3537</v>
      </c>
      <c r="J458">
        <v>1031.97</v>
      </c>
      <c r="K458" s="3">
        <f t="shared" si="31"/>
        <v>0.29176420695504668</v>
      </c>
      <c r="L458">
        <v>9</v>
      </c>
      <c r="M458" t="s">
        <v>13</v>
      </c>
    </row>
    <row r="459" spans="1:13" x14ac:dyDescent="0.25">
      <c r="A459">
        <v>1458</v>
      </c>
      <c r="B459">
        <f t="shared" si="28"/>
        <v>2023</v>
      </c>
      <c r="C459" t="str">
        <f t="shared" si="29"/>
        <v>July</v>
      </c>
      <c r="D459" t="s">
        <v>234</v>
      </c>
      <c r="E459" t="s">
        <v>10</v>
      </c>
      <c r="F459" t="s">
        <v>11</v>
      </c>
      <c r="G459" t="s">
        <v>44</v>
      </c>
      <c r="H459" t="str">
        <f t="shared" si="30"/>
        <v>Low</v>
      </c>
      <c r="I459">
        <v>161</v>
      </c>
      <c r="J459">
        <v>13.44</v>
      </c>
      <c r="K459" s="3">
        <f t="shared" si="31"/>
        <v>8.347826086956521E-2</v>
      </c>
      <c r="L459">
        <v>7</v>
      </c>
      <c r="M459" t="s">
        <v>22</v>
      </c>
    </row>
    <row r="460" spans="1:13" x14ac:dyDescent="0.25">
      <c r="A460">
        <v>1459</v>
      </c>
      <c r="B460">
        <f t="shared" si="28"/>
        <v>2023</v>
      </c>
      <c r="C460" t="str">
        <f t="shared" si="29"/>
        <v>November</v>
      </c>
      <c r="D460" t="s">
        <v>277</v>
      </c>
      <c r="E460" t="s">
        <v>19</v>
      </c>
      <c r="F460" t="s">
        <v>27</v>
      </c>
      <c r="G460" t="s">
        <v>36</v>
      </c>
      <c r="H460" t="str">
        <f t="shared" si="30"/>
        <v>High</v>
      </c>
      <c r="I460">
        <v>4602</v>
      </c>
      <c r="J460">
        <v>1332.55</v>
      </c>
      <c r="K460" s="3">
        <f t="shared" si="31"/>
        <v>0.28955888744024338</v>
      </c>
      <c r="L460">
        <v>6</v>
      </c>
      <c r="M460" t="s">
        <v>30</v>
      </c>
    </row>
    <row r="461" spans="1:13" x14ac:dyDescent="0.25">
      <c r="A461">
        <v>1460</v>
      </c>
      <c r="B461">
        <f t="shared" si="28"/>
        <v>2023</v>
      </c>
      <c r="C461" t="str">
        <f t="shared" si="29"/>
        <v>December</v>
      </c>
      <c r="D461" t="s">
        <v>69</v>
      </c>
      <c r="E461" t="s">
        <v>19</v>
      </c>
      <c r="F461" t="s">
        <v>20</v>
      </c>
      <c r="G461" t="s">
        <v>25</v>
      </c>
      <c r="H461" t="str">
        <f t="shared" si="30"/>
        <v>High</v>
      </c>
      <c r="I461">
        <v>924</v>
      </c>
      <c r="J461">
        <v>202.11</v>
      </c>
      <c r="K461" s="3">
        <f t="shared" si="31"/>
        <v>0.21873376623376625</v>
      </c>
      <c r="L461">
        <v>2</v>
      </c>
      <c r="M461" t="s">
        <v>30</v>
      </c>
    </row>
    <row r="462" spans="1:13" x14ac:dyDescent="0.25">
      <c r="A462">
        <v>1461</v>
      </c>
      <c r="B462">
        <f t="shared" si="28"/>
        <v>2023</v>
      </c>
      <c r="C462" t="str">
        <f t="shared" si="29"/>
        <v>October</v>
      </c>
      <c r="D462" t="s">
        <v>288</v>
      </c>
      <c r="E462" t="s">
        <v>19</v>
      </c>
      <c r="F462" t="s">
        <v>27</v>
      </c>
      <c r="G462" t="s">
        <v>28</v>
      </c>
      <c r="H462" t="str">
        <f t="shared" si="30"/>
        <v>High</v>
      </c>
      <c r="I462">
        <v>1570</v>
      </c>
      <c r="J462">
        <v>484.23</v>
      </c>
      <c r="K462" s="3">
        <f t="shared" si="31"/>
        <v>0.30842675159235672</v>
      </c>
      <c r="L462">
        <v>5</v>
      </c>
      <c r="M462" t="s">
        <v>22</v>
      </c>
    </row>
    <row r="463" spans="1:13" x14ac:dyDescent="0.25">
      <c r="A463">
        <v>1462</v>
      </c>
      <c r="B463">
        <f t="shared" si="28"/>
        <v>2023</v>
      </c>
      <c r="C463" t="str">
        <f t="shared" si="29"/>
        <v>March</v>
      </c>
      <c r="D463" t="s">
        <v>289</v>
      </c>
      <c r="E463" t="s">
        <v>19</v>
      </c>
      <c r="F463" t="s">
        <v>20</v>
      </c>
      <c r="G463" t="s">
        <v>25</v>
      </c>
      <c r="H463" t="str">
        <f t="shared" si="30"/>
        <v>Medium</v>
      </c>
      <c r="I463">
        <v>394</v>
      </c>
      <c r="J463">
        <v>36.93</v>
      </c>
      <c r="K463" s="3">
        <f t="shared" si="31"/>
        <v>9.3730964467005073E-2</v>
      </c>
      <c r="L463">
        <v>1</v>
      </c>
      <c r="M463" t="s">
        <v>13</v>
      </c>
    </row>
    <row r="464" spans="1:13" x14ac:dyDescent="0.25">
      <c r="A464">
        <v>1463</v>
      </c>
      <c r="B464">
        <f t="shared" si="28"/>
        <v>2023</v>
      </c>
      <c r="C464" t="str">
        <f t="shared" si="29"/>
        <v>October</v>
      </c>
      <c r="D464" t="s">
        <v>240</v>
      </c>
      <c r="E464" t="s">
        <v>24</v>
      </c>
      <c r="F464" t="s">
        <v>11</v>
      </c>
      <c r="G464" t="s">
        <v>15</v>
      </c>
      <c r="H464" t="str">
        <f t="shared" si="30"/>
        <v>High</v>
      </c>
      <c r="I464">
        <v>1719</v>
      </c>
      <c r="J464">
        <v>285.05</v>
      </c>
      <c r="K464" s="3">
        <f t="shared" si="31"/>
        <v>0.16582315299592787</v>
      </c>
      <c r="L464">
        <v>9</v>
      </c>
      <c r="M464" t="s">
        <v>22</v>
      </c>
    </row>
    <row r="465" spans="1:13" x14ac:dyDescent="0.25">
      <c r="A465">
        <v>1464</v>
      </c>
      <c r="B465">
        <f t="shared" si="28"/>
        <v>2023</v>
      </c>
      <c r="C465" t="str">
        <f t="shared" si="29"/>
        <v>March</v>
      </c>
      <c r="D465" t="s">
        <v>290</v>
      </c>
      <c r="E465" t="s">
        <v>10</v>
      </c>
      <c r="F465" t="s">
        <v>20</v>
      </c>
      <c r="G465" t="s">
        <v>21</v>
      </c>
      <c r="H465" t="str">
        <f t="shared" si="30"/>
        <v>High</v>
      </c>
      <c r="I465">
        <v>8344</v>
      </c>
      <c r="J465">
        <v>874.66</v>
      </c>
      <c r="K465" s="3">
        <f t="shared" si="31"/>
        <v>0.10482502396931927</v>
      </c>
      <c r="L465">
        <v>7</v>
      </c>
      <c r="M465" t="s">
        <v>13</v>
      </c>
    </row>
    <row r="466" spans="1:13" x14ac:dyDescent="0.25">
      <c r="A466">
        <v>1465</v>
      </c>
      <c r="B466">
        <f t="shared" si="28"/>
        <v>2023</v>
      </c>
      <c r="C466" t="str">
        <f t="shared" si="29"/>
        <v>July</v>
      </c>
      <c r="D466" t="s">
        <v>220</v>
      </c>
      <c r="E466" t="s">
        <v>24</v>
      </c>
      <c r="F466" t="s">
        <v>20</v>
      </c>
      <c r="G466" t="s">
        <v>21</v>
      </c>
      <c r="H466" t="str">
        <f t="shared" si="30"/>
        <v>High</v>
      </c>
      <c r="I466">
        <v>2635</v>
      </c>
      <c r="J466">
        <v>548.64</v>
      </c>
      <c r="K466" s="3">
        <f t="shared" si="31"/>
        <v>0.20821252371916507</v>
      </c>
      <c r="L466">
        <v>5</v>
      </c>
      <c r="M466" t="s">
        <v>22</v>
      </c>
    </row>
    <row r="467" spans="1:13" x14ac:dyDescent="0.25">
      <c r="A467">
        <v>1466</v>
      </c>
      <c r="B467">
        <f t="shared" si="28"/>
        <v>2023</v>
      </c>
      <c r="C467" t="str">
        <f t="shared" si="29"/>
        <v>June</v>
      </c>
      <c r="D467" t="s">
        <v>291</v>
      </c>
      <c r="E467" t="s">
        <v>10</v>
      </c>
      <c r="F467" t="s">
        <v>11</v>
      </c>
      <c r="G467" t="s">
        <v>12</v>
      </c>
      <c r="H467" t="str">
        <f t="shared" si="30"/>
        <v>High</v>
      </c>
      <c r="I467">
        <v>1336</v>
      </c>
      <c r="J467">
        <v>438.24</v>
      </c>
      <c r="K467" s="3">
        <f t="shared" si="31"/>
        <v>0.32802395209580837</v>
      </c>
      <c r="L467">
        <v>8</v>
      </c>
      <c r="M467" t="s">
        <v>13</v>
      </c>
    </row>
    <row r="468" spans="1:13" x14ac:dyDescent="0.25">
      <c r="A468">
        <v>1467</v>
      </c>
      <c r="B468">
        <f t="shared" si="28"/>
        <v>2023</v>
      </c>
      <c r="C468" t="str">
        <f t="shared" si="29"/>
        <v>February</v>
      </c>
      <c r="D468" t="s">
        <v>110</v>
      </c>
      <c r="E468" t="s">
        <v>24</v>
      </c>
      <c r="F468" t="s">
        <v>20</v>
      </c>
      <c r="G468" t="s">
        <v>42</v>
      </c>
      <c r="H468" t="str">
        <f t="shared" si="30"/>
        <v>High</v>
      </c>
      <c r="I468">
        <v>4235</v>
      </c>
      <c r="J468">
        <v>662.2</v>
      </c>
      <c r="K468" s="3">
        <f t="shared" si="31"/>
        <v>0.15636363636363637</v>
      </c>
      <c r="L468">
        <v>7</v>
      </c>
      <c r="M468" t="s">
        <v>22</v>
      </c>
    </row>
    <row r="469" spans="1:13" x14ac:dyDescent="0.25">
      <c r="A469">
        <v>1468</v>
      </c>
      <c r="B469">
        <f t="shared" si="28"/>
        <v>2023</v>
      </c>
      <c r="C469" t="str">
        <f t="shared" si="29"/>
        <v>January</v>
      </c>
      <c r="D469" t="s">
        <v>170</v>
      </c>
      <c r="E469" t="s">
        <v>19</v>
      </c>
      <c r="F469" t="s">
        <v>11</v>
      </c>
      <c r="G469" t="s">
        <v>44</v>
      </c>
      <c r="H469" t="str">
        <f t="shared" si="30"/>
        <v>High</v>
      </c>
      <c r="I469">
        <v>705</v>
      </c>
      <c r="J469">
        <v>72.069999999999993</v>
      </c>
      <c r="K469" s="3">
        <f t="shared" si="31"/>
        <v>0.10222695035460992</v>
      </c>
      <c r="L469">
        <v>5</v>
      </c>
      <c r="M469" t="s">
        <v>22</v>
      </c>
    </row>
    <row r="470" spans="1:13" x14ac:dyDescent="0.25">
      <c r="A470">
        <v>1469</v>
      </c>
      <c r="B470">
        <f t="shared" si="28"/>
        <v>2023</v>
      </c>
      <c r="C470" t="str">
        <f t="shared" si="29"/>
        <v>February</v>
      </c>
      <c r="D470" t="s">
        <v>107</v>
      </c>
      <c r="E470" t="s">
        <v>10</v>
      </c>
      <c r="F470" t="s">
        <v>20</v>
      </c>
      <c r="G470" t="s">
        <v>21</v>
      </c>
      <c r="H470" t="str">
        <f t="shared" si="30"/>
        <v>High</v>
      </c>
      <c r="I470">
        <v>2064</v>
      </c>
      <c r="J470">
        <v>630.82000000000005</v>
      </c>
      <c r="K470" s="3">
        <f t="shared" si="31"/>
        <v>0.30562984496124035</v>
      </c>
      <c r="L470">
        <v>4</v>
      </c>
      <c r="M470" t="s">
        <v>13</v>
      </c>
    </row>
    <row r="471" spans="1:13" x14ac:dyDescent="0.25">
      <c r="A471">
        <v>1470</v>
      </c>
      <c r="B471">
        <f t="shared" si="28"/>
        <v>2023</v>
      </c>
      <c r="C471" t="str">
        <f t="shared" si="29"/>
        <v>February</v>
      </c>
      <c r="D471" t="s">
        <v>292</v>
      </c>
      <c r="E471" t="s">
        <v>19</v>
      </c>
      <c r="F471" t="s">
        <v>20</v>
      </c>
      <c r="G471" t="s">
        <v>39</v>
      </c>
      <c r="H471" t="str">
        <f t="shared" si="30"/>
        <v>Medium</v>
      </c>
      <c r="I471">
        <v>384</v>
      </c>
      <c r="J471">
        <v>65.11</v>
      </c>
      <c r="K471" s="3">
        <f t="shared" si="31"/>
        <v>0.16955729166666667</v>
      </c>
      <c r="L471">
        <v>3</v>
      </c>
      <c r="M471" t="s">
        <v>13</v>
      </c>
    </row>
    <row r="472" spans="1:13" x14ac:dyDescent="0.25">
      <c r="A472">
        <v>1471</v>
      </c>
      <c r="B472">
        <f t="shared" si="28"/>
        <v>2023</v>
      </c>
      <c r="C472" t="str">
        <f t="shared" si="29"/>
        <v>May</v>
      </c>
      <c r="D472" t="s">
        <v>126</v>
      </c>
      <c r="E472" t="s">
        <v>10</v>
      </c>
      <c r="F472" t="s">
        <v>20</v>
      </c>
      <c r="G472" t="s">
        <v>42</v>
      </c>
      <c r="H472" t="str">
        <f t="shared" si="30"/>
        <v>High</v>
      </c>
      <c r="I472">
        <v>2016</v>
      </c>
      <c r="J472">
        <v>657.15</v>
      </c>
      <c r="K472" s="3">
        <f t="shared" si="31"/>
        <v>0.32596726190476188</v>
      </c>
      <c r="L472">
        <v>9</v>
      </c>
      <c r="M472" t="s">
        <v>30</v>
      </c>
    </row>
    <row r="473" spans="1:13" x14ac:dyDescent="0.25">
      <c r="A473">
        <v>1472</v>
      </c>
      <c r="B473">
        <f t="shared" si="28"/>
        <v>2023</v>
      </c>
      <c r="C473" t="str">
        <f t="shared" si="29"/>
        <v>July</v>
      </c>
      <c r="D473" t="s">
        <v>293</v>
      </c>
      <c r="E473" t="s">
        <v>19</v>
      </c>
      <c r="F473" t="s">
        <v>27</v>
      </c>
      <c r="G473" t="s">
        <v>95</v>
      </c>
      <c r="H473" t="str">
        <f t="shared" si="30"/>
        <v>High</v>
      </c>
      <c r="I473">
        <v>1169</v>
      </c>
      <c r="J473">
        <v>306.02999999999997</v>
      </c>
      <c r="K473" s="3">
        <f t="shared" si="31"/>
        <v>0.26178785286569717</v>
      </c>
      <c r="L473">
        <v>7</v>
      </c>
      <c r="M473" t="s">
        <v>13</v>
      </c>
    </row>
    <row r="474" spans="1:13" x14ac:dyDescent="0.25">
      <c r="A474">
        <v>1473</v>
      </c>
      <c r="B474">
        <f t="shared" si="28"/>
        <v>2023</v>
      </c>
      <c r="C474" t="str">
        <f t="shared" si="29"/>
        <v>October</v>
      </c>
      <c r="D474" t="s">
        <v>37</v>
      </c>
      <c r="E474" t="s">
        <v>10</v>
      </c>
      <c r="F474" t="s">
        <v>11</v>
      </c>
      <c r="G474" t="s">
        <v>12</v>
      </c>
      <c r="H474" t="str">
        <f t="shared" si="30"/>
        <v>Low</v>
      </c>
      <c r="I474">
        <v>138</v>
      </c>
      <c r="J474">
        <v>14.99</v>
      </c>
      <c r="K474" s="3">
        <f t="shared" si="31"/>
        <v>0.1086231884057971</v>
      </c>
      <c r="L474">
        <v>1</v>
      </c>
      <c r="M474" t="s">
        <v>13</v>
      </c>
    </row>
    <row r="475" spans="1:13" x14ac:dyDescent="0.25">
      <c r="A475">
        <v>1474</v>
      </c>
      <c r="B475">
        <f t="shared" si="28"/>
        <v>2023</v>
      </c>
      <c r="C475" t="str">
        <f t="shared" si="29"/>
        <v>August</v>
      </c>
      <c r="D475" t="s">
        <v>158</v>
      </c>
      <c r="E475" t="s">
        <v>10</v>
      </c>
      <c r="F475" t="s">
        <v>11</v>
      </c>
      <c r="G475" t="s">
        <v>44</v>
      </c>
      <c r="H475" t="str">
        <f t="shared" si="30"/>
        <v>Low</v>
      </c>
      <c r="I475">
        <v>119</v>
      </c>
      <c r="J475">
        <v>24.75</v>
      </c>
      <c r="K475" s="3">
        <f t="shared" si="31"/>
        <v>0.20798319327731093</v>
      </c>
      <c r="L475">
        <v>7</v>
      </c>
      <c r="M475" t="s">
        <v>22</v>
      </c>
    </row>
    <row r="476" spans="1:13" x14ac:dyDescent="0.25">
      <c r="A476">
        <v>1475</v>
      </c>
      <c r="B476">
        <f t="shared" si="28"/>
        <v>2023</v>
      </c>
      <c r="C476" t="str">
        <f t="shared" si="29"/>
        <v>July</v>
      </c>
      <c r="D476" t="s">
        <v>294</v>
      </c>
      <c r="E476" t="s">
        <v>17</v>
      </c>
      <c r="F476" t="s">
        <v>11</v>
      </c>
      <c r="G476" t="s">
        <v>33</v>
      </c>
      <c r="H476" t="str">
        <f t="shared" si="30"/>
        <v>Medium</v>
      </c>
      <c r="I476">
        <v>414</v>
      </c>
      <c r="J476">
        <v>66.44</v>
      </c>
      <c r="K476" s="3">
        <f t="shared" si="31"/>
        <v>0.16048309178743961</v>
      </c>
      <c r="L476">
        <v>9</v>
      </c>
      <c r="M476" t="s">
        <v>13</v>
      </c>
    </row>
    <row r="477" spans="1:13" x14ac:dyDescent="0.25">
      <c r="A477">
        <v>1476</v>
      </c>
      <c r="B477">
        <f t="shared" si="28"/>
        <v>2023</v>
      </c>
      <c r="C477" t="str">
        <f t="shared" si="29"/>
        <v>October</v>
      </c>
      <c r="D477" t="s">
        <v>288</v>
      </c>
      <c r="E477" t="s">
        <v>10</v>
      </c>
      <c r="F477" t="s">
        <v>11</v>
      </c>
      <c r="G477" t="s">
        <v>44</v>
      </c>
      <c r="H477" t="str">
        <f t="shared" si="30"/>
        <v>Low</v>
      </c>
      <c r="I477">
        <v>33</v>
      </c>
      <c r="J477">
        <v>7.74</v>
      </c>
      <c r="K477" s="3">
        <f t="shared" si="31"/>
        <v>0.23454545454545456</v>
      </c>
      <c r="L477">
        <v>3</v>
      </c>
      <c r="M477" t="s">
        <v>13</v>
      </c>
    </row>
    <row r="478" spans="1:13" x14ac:dyDescent="0.25">
      <c r="A478">
        <v>1477</v>
      </c>
      <c r="B478">
        <f t="shared" si="28"/>
        <v>2023</v>
      </c>
      <c r="C478" t="str">
        <f t="shared" si="29"/>
        <v>June</v>
      </c>
      <c r="D478" t="s">
        <v>278</v>
      </c>
      <c r="E478" t="s">
        <v>24</v>
      </c>
      <c r="F478" t="s">
        <v>27</v>
      </c>
      <c r="G478" t="s">
        <v>28</v>
      </c>
      <c r="H478" t="str">
        <f t="shared" si="30"/>
        <v>High</v>
      </c>
      <c r="I478">
        <v>3244</v>
      </c>
      <c r="J478">
        <v>384.29</v>
      </c>
      <c r="K478" s="3">
        <f t="shared" si="31"/>
        <v>0.11846177558569668</v>
      </c>
      <c r="L478">
        <v>4</v>
      </c>
      <c r="M478" t="s">
        <v>30</v>
      </c>
    </row>
    <row r="479" spans="1:13" x14ac:dyDescent="0.25">
      <c r="A479">
        <v>1478</v>
      </c>
      <c r="B479">
        <f t="shared" si="28"/>
        <v>2023</v>
      </c>
      <c r="C479" t="str">
        <f t="shared" si="29"/>
        <v>February</v>
      </c>
      <c r="D479" t="s">
        <v>110</v>
      </c>
      <c r="E479" t="s">
        <v>24</v>
      </c>
      <c r="F479" t="s">
        <v>20</v>
      </c>
      <c r="G479" t="s">
        <v>21</v>
      </c>
      <c r="H479" t="str">
        <f t="shared" si="30"/>
        <v>Medium</v>
      </c>
      <c r="I479">
        <v>573</v>
      </c>
      <c r="J479">
        <v>145.58000000000001</v>
      </c>
      <c r="K479" s="3">
        <f t="shared" si="31"/>
        <v>0.25406631762652709</v>
      </c>
      <c r="L479">
        <v>3</v>
      </c>
      <c r="M479" t="s">
        <v>30</v>
      </c>
    </row>
    <row r="480" spans="1:13" x14ac:dyDescent="0.25">
      <c r="A480">
        <v>1479</v>
      </c>
      <c r="B480">
        <f t="shared" si="28"/>
        <v>2023</v>
      </c>
      <c r="C480" t="str">
        <f t="shared" si="29"/>
        <v>February</v>
      </c>
      <c r="D480" t="s">
        <v>243</v>
      </c>
      <c r="E480" t="s">
        <v>10</v>
      </c>
      <c r="F480" t="s">
        <v>20</v>
      </c>
      <c r="G480" t="s">
        <v>25</v>
      </c>
      <c r="H480" t="str">
        <f t="shared" si="30"/>
        <v>High</v>
      </c>
      <c r="I480">
        <v>4308</v>
      </c>
      <c r="J480">
        <v>493.77</v>
      </c>
      <c r="K480" s="3">
        <f t="shared" si="31"/>
        <v>0.11461699164345404</v>
      </c>
      <c r="L480">
        <v>4</v>
      </c>
      <c r="M480" t="s">
        <v>22</v>
      </c>
    </row>
    <row r="481" spans="1:13" x14ac:dyDescent="0.25">
      <c r="A481">
        <v>1480</v>
      </c>
      <c r="B481">
        <f t="shared" si="28"/>
        <v>2023</v>
      </c>
      <c r="C481" t="str">
        <f t="shared" si="29"/>
        <v>November</v>
      </c>
      <c r="D481" t="s">
        <v>237</v>
      </c>
      <c r="E481" t="s">
        <v>10</v>
      </c>
      <c r="F481" t="s">
        <v>11</v>
      </c>
      <c r="G481" t="s">
        <v>33</v>
      </c>
      <c r="H481" t="str">
        <f t="shared" si="30"/>
        <v>Medium</v>
      </c>
      <c r="I481">
        <v>268</v>
      </c>
      <c r="J481">
        <v>54.05</v>
      </c>
      <c r="K481" s="3">
        <f t="shared" si="31"/>
        <v>0.20167910447761192</v>
      </c>
      <c r="L481">
        <v>2</v>
      </c>
      <c r="M481" t="s">
        <v>22</v>
      </c>
    </row>
    <row r="482" spans="1:13" x14ac:dyDescent="0.25">
      <c r="A482">
        <v>1481</v>
      </c>
      <c r="B482">
        <f t="shared" si="28"/>
        <v>2023</v>
      </c>
      <c r="C482" t="str">
        <f t="shared" si="29"/>
        <v>October</v>
      </c>
      <c r="D482" t="s">
        <v>46</v>
      </c>
      <c r="E482" t="s">
        <v>17</v>
      </c>
      <c r="F482" t="s">
        <v>11</v>
      </c>
      <c r="G482" t="s">
        <v>44</v>
      </c>
      <c r="H482" t="str">
        <f t="shared" si="30"/>
        <v>Medium</v>
      </c>
      <c r="I482">
        <v>318</v>
      </c>
      <c r="J482">
        <v>25.85</v>
      </c>
      <c r="K482" s="3">
        <f t="shared" si="31"/>
        <v>8.1289308176100639E-2</v>
      </c>
      <c r="L482">
        <v>6</v>
      </c>
      <c r="M482" t="s">
        <v>13</v>
      </c>
    </row>
    <row r="483" spans="1:13" x14ac:dyDescent="0.25">
      <c r="A483">
        <v>1482</v>
      </c>
      <c r="B483">
        <f t="shared" si="28"/>
        <v>2023</v>
      </c>
      <c r="C483" t="str">
        <f t="shared" si="29"/>
        <v>July</v>
      </c>
      <c r="D483" t="s">
        <v>220</v>
      </c>
      <c r="E483" t="s">
        <v>19</v>
      </c>
      <c r="F483" t="s">
        <v>20</v>
      </c>
      <c r="G483" t="s">
        <v>21</v>
      </c>
      <c r="H483" t="str">
        <f t="shared" si="30"/>
        <v>High</v>
      </c>
      <c r="I483">
        <v>2277</v>
      </c>
      <c r="J483">
        <v>455.96</v>
      </c>
      <c r="K483" s="3">
        <f t="shared" si="31"/>
        <v>0.20024593763724197</v>
      </c>
      <c r="L483">
        <v>3</v>
      </c>
      <c r="M483" t="s">
        <v>22</v>
      </c>
    </row>
    <row r="484" spans="1:13" x14ac:dyDescent="0.25">
      <c r="A484">
        <v>1483</v>
      </c>
      <c r="B484">
        <f t="shared" si="28"/>
        <v>2023</v>
      </c>
      <c r="C484" t="str">
        <f t="shared" si="29"/>
        <v>November</v>
      </c>
      <c r="D484" t="s">
        <v>295</v>
      </c>
      <c r="E484" t="s">
        <v>10</v>
      </c>
      <c r="F484" t="s">
        <v>27</v>
      </c>
      <c r="G484" t="s">
        <v>95</v>
      </c>
      <c r="H484" t="str">
        <f t="shared" si="30"/>
        <v>High</v>
      </c>
      <c r="I484">
        <v>4370</v>
      </c>
      <c r="J484">
        <v>1401.24</v>
      </c>
      <c r="K484" s="3">
        <f t="shared" si="31"/>
        <v>0.32064988558352403</v>
      </c>
      <c r="L484">
        <v>10</v>
      </c>
      <c r="M484" t="s">
        <v>30</v>
      </c>
    </row>
    <row r="485" spans="1:13" x14ac:dyDescent="0.25">
      <c r="A485">
        <v>1484</v>
      </c>
      <c r="B485">
        <f t="shared" si="28"/>
        <v>2023</v>
      </c>
      <c r="C485" t="str">
        <f t="shared" si="29"/>
        <v>February</v>
      </c>
      <c r="D485" t="s">
        <v>131</v>
      </c>
      <c r="E485" t="s">
        <v>10</v>
      </c>
      <c r="F485" t="s">
        <v>20</v>
      </c>
      <c r="G485" t="s">
        <v>25</v>
      </c>
      <c r="H485" t="str">
        <f t="shared" si="30"/>
        <v>High</v>
      </c>
      <c r="I485">
        <v>1118</v>
      </c>
      <c r="J485">
        <v>334.74</v>
      </c>
      <c r="K485" s="3">
        <f t="shared" si="31"/>
        <v>0.29940966010733455</v>
      </c>
      <c r="L485">
        <v>1</v>
      </c>
      <c r="M485" t="s">
        <v>13</v>
      </c>
    </row>
    <row r="486" spans="1:13" x14ac:dyDescent="0.25">
      <c r="A486">
        <v>1485</v>
      </c>
      <c r="B486">
        <f t="shared" si="28"/>
        <v>2023</v>
      </c>
      <c r="C486" t="str">
        <f t="shared" si="29"/>
        <v>October</v>
      </c>
      <c r="D486" t="s">
        <v>296</v>
      </c>
      <c r="E486" t="s">
        <v>17</v>
      </c>
      <c r="F486" t="s">
        <v>11</v>
      </c>
      <c r="G486" t="s">
        <v>84</v>
      </c>
      <c r="H486" t="str">
        <f t="shared" si="30"/>
        <v>High</v>
      </c>
      <c r="I486">
        <v>650</v>
      </c>
      <c r="J486">
        <v>166.76</v>
      </c>
      <c r="K486" s="3">
        <f t="shared" si="31"/>
        <v>0.25655384615384613</v>
      </c>
      <c r="L486">
        <v>5</v>
      </c>
      <c r="M486" t="s">
        <v>30</v>
      </c>
    </row>
    <row r="487" spans="1:13" x14ac:dyDescent="0.25">
      <c r="A487">
        <v>1486</v>
      </c>
      <c r="B487">
        <f t="shared" si="28"/>
        <v>2023</v>
      </c>
      <c r="C487" t="str">
        <f t="shared" si="29"/>
        <v>October</v>
      </c>
      <c r="D487" t="s">
        <v>297</v>
      </c>
      <c r="E487" t="s">
        <v>19</v>
      </c>
      <c r="F487" t="s">
        <v>20</v>
      </c>
      <c r="G487" t="s">
        <v>25</v>
      </c>
      <c r="H487" t="str">
        <f t="shared" si="30"/>
        <v>High</v>
      </c>
      <c r="I487">
        <v>1770</v>
      </c>
      <c r="J487">
        <v>385.53</v>
      </c>
      <c r="K487" s="3">
        <f t="shared" si="31"/>
        <v>0.21781355932203389</v>
      </c>
      <c r="L487">
        <v>5</v>
      </c>
      <c r="M487" t="s">
        <v>30</v>
      </c>
    </row>
    <row r="488" spans="1:13" x14ac:dyDescent="0.25">
      <c r="A488">
        <v>1487</v>
      </c>
      <c r="B488">
        <f t="shared" si="28"/>
        <v>2023</v>
      </c>
      <c r="C488" t="str">
        <f t="shared" si="29"/>
        <v>May</v>
      </c>
      <c r="D488" t="s">
        <v>165</v>
      </c>
      <c r="E488" t="s">
        <v>10</v>
      </c>
      <c r="F488" t="s">
        <v>27</v>
      </c>
      <c r="G488" t="s">
        <v>73</v>
      </c>
      <c r="H488" t="str">
        <f t="shared" si="30"/>
        <v>High</v>
      </c>
      <c r="I488">
        <v>6760</v>
      </c>
      <c r="J488">
        <v>1355.24</v>
      </c>
      <c r="K488" s="3">
        <f t="shared" si="31"/>
        <v>0.20047928994082839</v>
      </c>
      <c r="L488">
        <v>10</v>
      </c>
      <c r="M488" t="s">
        <v>13</v>
      </c>
    </row>
    <row r="489" spans="1:13" x14ac:dyDescent="0.25">
      <c r="A489">
        <v>1488</v>
      </c>
      <c r="B489">
        <f t="shared" si="28"/>
        <v>2023</v>
      </c>
      <c r="C489" t="str">
        <f t="shared" si="29"/>
        <v>September</v>
      </c>
      <c r="D489" t="s">
        <v>286</v>
      </c>
      <c r="E489" t="s">
        <v>17</v>
      </c>
      <c r="F489" t="s">
        <v>20</v>
      </c>
      <c r="G489" t="s">
        <v>39</v>
      </c>
      <c r="H489" t="str">
        <f t="shared" si="30"/>
        <v>High</v>
      </c>
      <c r="I489">
        <v>972</v>
      </c>
      <c r="J489">
        <v>138.58000000000001</v>
      </c>
      <c r="K489" s="3">
        <f t="shared" si="31"/>
        <v>0.14257201646090537</v>
      </c>
      <c r="L489">
        <v>6</v>
      </c>
      <c r="M489" t="s">
        <v>13</v>
      </c>
    </row>
    <row r="490" spans="1:13" x14ac:dyDescent="0.25">
      <c r="A490">
        <v>1489</v>
      </c>
      <c r="B490">
        <f t="shared" si="28"/>
        <v>2023</v>
      </c>
      <c r="C490" t="str">
        <f t="shared" si="29"/>
        <v>December</v>
      </c>
      <c r="D490" t="s">
        <v>166</v>
      </c>
      <c r="E490" t="s">
        <v>17</v>
      </c>
      <c r="F490" t="s">
        <v>27</v>
      </c>
      <c r="G490" t="s">
        <v>73</v>
      </c>
      <c r="H490" t="str">
        <f t="shared" si="30"/>
        <v>High</v>
      </c>
      <c r="I490">
        <v>2076</v>
      </c>
      <c r="J490">
        <v>429.34</v>
      </c>
      <c r="K490" s="3">
        <f t="shared" si="31"/>
        <v>0.20681117533718688</v>
      </c>
      <c r="L490">
        <v>4</v>
      </c>
      <c r="M490" t="s">
        <v>30</v>
      </c>
    </row>
    <row r="491" spans="1:13" x14ac:dyDescent="0.25">
      <c r="A491">
        <v>1490</v>
      </c>
      <c r="B491">
        <f t="shared" si="28"/>
        <v>2023</v>
      </c>
      <c r="C491" t="str">
        <f t="shared" si="29"/>
        <v>June</v>
      </c>
      <c r="D491" t="s">
        <v>45</v>
      </c>
      <c r="E491" t="s">
        <v>10</v>
      </c>
      <c r="F491" t="s">
        <v>27</v>
      </c>
      <c r="G491" t="s">
        <v>28</v>
      </c>
      <c r="H491" t="str">
        <f t="shared" si="30"/>
        <v>High</v>
      </c>
      <c r="I491">
        <v>1596</v>
      </c>
      <c r="J491">
        <v>487.44</v>
      </c>
      <c r="K491" s="3">
        <f t="shared" si="31"/>
        <v>0.30541353383458647</v>
      </c>
      <c r="L491">
        <v>2</v>
      </c>
      <c r="M491" t="s">
        <v>13</v>
      </c>
    </row>
    <row r="492" spans="1:13" x14ac:dyDescent="0.25">
      <c r="A492">
        <v>1491</v>
      </c>
      <c r="B492">
        <f t="shared" si="28"/>
        <v>2023</v>
      </c>
      <c r="C492" t="str">
        <f t="shared" si="29"/>
        <v>July</v>
      </c>
      <c r="D492" t="s">
        <v>298</v>
      </c>
      <c r="E492" t="s">
        <v>19</v>
      </c>
      <c r="F492" t="s">
        <v>27</v>
      </c>
      <c r="G492" t="s">
        <v>36</v>
      </c>
      <c r="H492" t="str">
        <f t="shared" si="30"/>
        <v>High</v>
      </c>
      <c r="I492">
        <v>4074</v>
      </c>
      <c r="J492">
        <v>739.87</v>
      </c>
      <c r="K492" s="3">
        <f t="shared" si="31"/>
        <v>0.18160775650466371</v>
      </c>
      <c r="L492">
        <v>6</v>
      </c>
      <c r="M492" t="s">
        <v>13</v>
      </c>
    </row>
    <row r="493" spans="1:13" x14ac:dyDescent="0.25">
      <c r="A493">
        <v>1492</v>
      </c>
      <c r="B493">
        <f t="shared" si="28"/>
        <v>2023</v>
      </c>
      <c r="C493" t="str">
        <f t="shared" si="29"/>
        <v>June</v>
      </c>
      <c r="D493" t="s">
        <v>278</v>
      </c>
      <c r="E493" t="s">
        <v>19</v>
      </c>
      <c r="F493" t="s">
        <v>20</v>
      </c>
      <c r="G493" t="s">
        <v>39</v>
      </c>
      <c r="H493" t="str">
        <f t="shared" si="30"/>
        <v>High</v>
      </c>
      <c r="I493">
        <v>8536</v>
      </c>
      <c r="J493">
        <v>1839.47</v>
      </c>
      <c r="K493" s="3">
        <f t="shared" si="31"/>
        <v>0.21549554826616682</v>
      </c>
      <c r="L493">
        <v>8</v>
      </c>
      <c r="M493" t="s">
        <v>22</v>
      </c>
    </row>
    <row r="494" spans="1:13" x14ac:dyDescent="0.25">
      <c r="A494">
        <v>1493</v>
      </c>
      <c r="B494">
        <f t="shared" si="28"/>
        <v>2023</v>
      </c>
      <c r="C494" t="str">
        <f t="shared" si="29"/>
        <v>February</v>
      </c>
      <c r="D494" t="s">
        <v>266</v>
      </c>
      <c r="E494" t="s">
        <v>17</v>
      </c>
      <c r="F494" t="s">
        <v>20</v>
      </c>
      <c r="G494" t="s">
        <v>55</v>
      </c>
      <c r="H494" t="str">
        <f t="shared" si="30"/>
        <v>High</v>
      </c>
      <c r="I494">
        <v>5895</v>
      </c>
      <c r="J494">
        <v>769.09</v>
      </c>
      <c r="K494" s="3">
        <f t="shared" si="31"/>
        <v>0.13046480067854113</v>
      </c>
      <c r="L494">
        <v>9</v>
      </c>
      <c r="M494" t="s">
        <v>30</v>
      </c>
    </row>
    <row r="495" spans="1:13" x14ac:dyDescent="0.25">
      <c r="A495">
        <v>1494</v>
      </c>
      <c r="B495">
        <f t="shared" si="28"/>
        <v>2023</v>
      </c>
      <c r="C495" t="str">
        <f t="shared" si="29"/>
        <v>June</v>
      </c>
      <c r="D495" t="s">
        <v>272</v>
      </c>
      <c r="E495" t="s">
        <v>17</v>
      </c>
      <c r="F495" t="s">
        <v>27</v>
      </c>
      <c r="G495" t="s">
        <v>28</v>
      </c>
      <c r="H495" t="str">
        <f t="shared" si="30"/>
        <v>High</v>
      </c>
      <c r="I495">
        <v>1682</v>
      </c>
      <c r="J495">
        <v>352.1</v>
      </c>
      <c r="K495" s="3">
        <f t="shared" si="31"/>
        <v>0.20933412604042809</v>
      </c>
      <c r="L495">
        <v>2</v>
      </c>
      <c r="M495" t="s">
        <v>22</v>
      </c>
    </row>
    <row r="496" spans="1:13" x14ac:dyDescent="0.25">
      <c r="A496">
        <v>1495</v>
      </c>
      <c r="B496">
        <f t="shared" si="28"/>
        <v>2023</v>
      </c>
      <c r="C496" t="str">
        <f t="shared" si="29"/>
        <v>May</v>
      </c>
      <c r="D496" t="s">
        <v>231</v>
      </c>
      <c r="E496" t="s">
        <v>19</v>
      </c>
      <c r="F496" t="s">
        <v>11</v>
      </c>
      <c r="G496" t="s">
        <v>33</v>
      </c>
      <c r="H496" t="str">
        <f t="shared" si="30"/>
        <v>Low</v>
      </c>
      <c r="I496">
        <v>161</v>
      </c>
      <c r="J496">
        <v>19.88</v>
      </c>
      <c r="K496" s="3">
        <f t="shared" si="31"/>
        <v>0.12347826086956522</v>
      </c>
      <c r="L496">
        <v>1</v>
      </c>
      <c r="M496" t="s">
        <v>30</v>
      </c>
    </row>
    <row r="497" spans="1:13" x14ac:dyDescent="0.25">
      <c r="A497">
        <v>1496</v>
      </c>
      <c r="B497">
        <f t="shared" si="28"/>
        <v>2023</v>
      </c>
      <c r="C497" t="str">
        <f t="shared" si="29"/>
        <v>March</v>
      </c>
      <c r="D497" t="s">
        <v>257</v>
      </c>
      <c r="E497" t="s">
        <v>10</v>
      </c>
      <c r="F497" t="s">
        <v>11</v>
      </c>
      <c r="G497" t="s">
        <v>15</v>
      </c>
      <c r="H497" t="str">
        <f t="shared" si="30"/>
        <v>Low</v>
      </c>
      <c r="I497">
        <v>56</v>
      </c>
      <c r="J497">
        <v>12.29</v>
      </c>
      <c r="K497" s="3">
        <f t="shared" si="31"/>
        <v>0.2194642857142857</v>
      </c>
      <c r="L497">
        <v>1</v>
      </c>
      <c r="M497" t="s">
        <v>13</v>
      </c>
    </row>
    <row r="498" spans="1:13" x14ac:dyDescent="0.25">
      <c r="A498">
        <v>1497</v>
      </c>
      <c r="B498">
        <f t="shared" si="28"/>
        <v>2023</v>
      </c>
      <c r="C498" t="str">
        <f t="shared" si="29"/>
        <v>April</v>
      </c>
      <c r="D498" t="s">
        <v>299</v>
      </c>
      <c r="E498" t="s">
        <v>24</v>
      </c>
      <c r="F498" t="s">
        <v>27</v>
      </c>
      <c r="G498" t="s">
        <v>28</v>
      </c>
      <c r="H498" t="str">
        <f t="shared" si="30"/>
        <v>High</v>
      </c>
      <c r="I498">
        <v>5144</v>
      </c>
      <c r="J498">
        <v>716.19</v>
      </c>
      <c r="K498" s="3">
        <f t="shared" si="31"/>
        <v>0.13922822706065319</v>
      </c>
      <c r="L498">
        <v>8</v>
      </c>
      <c r="M498" t="s">
        <v>30</v>
      </c>
    </row>
    <row r="499" spans="1:13" x14ac:dyDescent="0.25">
      <c r="A499">
        <v>1498</v>
      </c>
      <c r="B499">
        <f t="shared" si="28"/>
        <v>2023</v>
      </c>
      <c r="C499" t="str">
        <f t="shared" si="29"/>
        <v>December</v>
      </c>
      <c r="D499" t="s">
        <v>285</v>
      </c>
      <c r="E499" t="s">
        <v>17</v>
      </c>
      <c r="F499" t="s">
        <v>27</v>
      </c>
      <c r="G499" t="s">
        <v>36</v>
      </c>
      <c r="H499" t="str">
        <f t="shared" si="30"/>
        <v>High</v>
      </c>
      <c r="I499">
        <v>2889</v>
      </c>
      <c r="J499">
        <v>765.9</v>
      </c>
      <c r="K499" s="3">
        <f t="shared" si="31"/>
        <v>0.26510903426791277</v>
      </c>
      <c r="L499">
        <v>9</v>
      </c>
      <c r="M499" t="s">
        <v>13</v>
      </c>
    </row>
    <row r="500" spans="1:13" x14ac:dyDescent="0.25">
      <c r="A500">
        <v>1499</v>
      </c>
      <c r="B500">
        <f t="shared" si="28"/>
        <v>2023</v>
      </c>
      <c r="C500" t="str">
        <f t="shared" si="29"/>
        <v>July</v>
      </c>
      <c r="D500" t="s">
        <v>282</v>
      </c>
      <c r="E500" t="s">
        <v>17</v>
      </c>
      <c r="F500" t="s">
        <v>27</v>
      </c>
      <c r="G500" t="s">
        <v>28</v>
      </c>
      <c r="H500" t="str">
        <f t="shared" si="30"/>
        <v>Medium</v>
      </c>
      <c r="I500">
        <v>498</v>
      </c>
      <c r="J500">
        <v>110.12</v>
      </c>
      <c r="K500" s="3">
        <f t="shared" si="31"/>
        <v>0.22112449799196787</v>
      </c>
      <c r="L500">
        <v>3</v>
      </c>
      <c r="M500" t="s">
        <v>22</v>
      </c>
    </row>
    <row r="501" spans="1:13" x14ac:dyDescent="0.25">
      <c r="A501">
        <v>1500</v>
      </c>
      <c r="B501">
        <f t="shared" si="28"/>
        <v>2023</v>
      </c>
      <c r="C501" t="str">
        <f t="shared" si="29"/>
        <v>February</v>
      </c>
      <c r="D501" t="s">
        <v>190</v>
      </c>
      <c r="E501" t="s">
        <v>17</v>
      </c>
      <c r="F501" t="s">
        <v>11</v>
      </c>
      <c r="G501" t="s">
        <v>84</v>
      </c>
      <c r="H501" t="str">
        <f t="shared" si="30"/>
        <v>Medium</v>
      </c>
      <c r="I501">
        <v>489</v>
      </c>
      <c r="J501">
        <v>44.27</v>
      </c>
      <c r="K501" s="3">
        <f t="shared" si="31"/>
        <v>9.0531697341513298E-2</v>
      </c>
      <c r="L501">
        <v>3</v>
      </c>
      <c r="M501" t="s">
        <v>13</v>
      </c>
    </row>
    <row r="502" spans="1:13" x14ac:dyDescent="0.25">
      <c r="A502">
        <v>1501</v>
      </c>
      <c r="B502">
        <f t="shared" si="28"/>
        <v>2023</v>
      </c>
      <c r="C502" t="str">
        <f t="shared" si="29"/>
        <v>September</v>
      </c>
      <c r="D502" t="s">
        <v>300</v>
      </c>
      <c r="E502" t="s">
        <v>10</v>
      </c>
      <c r="F502" t="s">
        <v>11</v>
      </c>
      <c r="G502" t="s">
        <v>15</v>
      </c>
      <c r="H502" t="str">
        <f t="shared" si="30"/>
        <v>Medium</v>
      </c>
      <c r="I502">
        <v>549</v>
      </c>
      <c r="J502">
        <v>140.16</v>
      </c>
      <c r="K502" s="3">
        <f t="shared" si="31"/>
        <v>0.25530054644808742</v>
      </c>
      <c r="L502">
        <v>3</v>
      </c>
      <c r="M502" t="s">
        <v>30</v>
      </c>
    </row>
    <row r="503" spans="1:13" x14ac:dyDescent="0.25">
      <c r="A503">
        <v>1502</v>
      </c>
      <c r="B503">
        <f t="shared" si="28"/>
        <v>2023</v>
      </c>
      <c r="C503" t="str">
        <f t="shared" si="29"/>
        <v>December</v>
      </c>
      <c r="D503" t="s">
        <v>301</v>
      </c>
      <c r="E503" t="s">
        <v>24</v>
      </c>
      <c r="F503" t="s">
        <v>11</v>
      </c>
      <c r="G503" t="s">
        <v>84</v>
      </c>
      <c r="H503" t="str">
        <f t="shared" si="30"/>
        <v>High</v>
      </c>
      <c r="I503">
        <v>1197</v>
      </c>
      <c r="J503">
        <v>350.94</v>
      </c>
      <c r="K503" s="3">
        <f t="shared" si="31"/>
        <v>0.29318295739348371</v>
      </c>
      <c r="L503">
        <v>9</v>
      </c>
      <c r="M503" t="s">
        <v>30</v>
      </c>
    </row>
    <row r="504" spans="1:13" x14ac:dyDescent="0.25">
      <c r="A504">
        <v>1503</v>
      </c>
      <c r="B504">
        <f t="shared" si="28"/>
        <v>2023</v>
      </c>
      <c r="C504" t="str">
        <f t="shared" si="29"/>
        <v>March</v>
      </c>
      <c r="D504" t="s">
        <v>189</v>
      </c>
      <c r="E504" t="s">
        <v>10</v>
      </c>
      <c r="F504" t="s">
        <v>27</v>
      </c>
      <c r="G504" t="s">
        <v>73</v>
      </c>
      <c r="H504" t="str">
        <f t="shared" si="30"/>
        <v>High</v>
      </c>
      <c r="I504">
        <v>1940</v>
      </c>
      <c r="J504">
        <v>303.58</v>
      </c>
      <c r="K504" s="3">
        <f t="shared" si="31"/>
        <v>0.15648453608247423</v>
      </c>
      <c r="L504">
        <v>5</v>
      </c>
      <c r="M504" t="s">
        <v>22</v>
      </c>
    </row>
    <row r="505" spans="1:13" x14ac:dyDescent="0.25">
      <c r="A505">
        <v>1504</v>
      </c>
      <c r="B505">
        <f t="shared" si="28"/>
        <v>2023</v>
      </c>
      <c r="C505" t="str">
        <f t="shared" si="29"/>
        <v>January</v>
      </c>
      <c r="D505" t="s">
        <v>302</v>
      </c>
      <c r="E505" t="s">
        <v>24</v>
      </c>
      <c r="F505" t="s">
        <v>11</v>
      </c>
      <c r="G505" t="s">
        <v>84</v>
      </c>
      <c r="H505" t="str">
        <f t="shared" si="30"/>
        <v>Low</v>
      </c>
      <c r="I505">
        <v>143</v>
      </c>
      <c r="J505">
        <v>11.72</v>
      </c>
      <c r="K505" s="3">
        <f t="shared" si="31"/>
        <v>8.1958041958041961E-2</v>
      </c>
      <c r="L505">
        <v>1</v>
      </c>
      <c r="M505" t="s">
        <v>30</v>
      </c>
    </row>
    <row r="506" spans="1:13" x14ac:dyDescent="0.25">
      <c r="A506">
        <v>1505</v>
      </c>
      <c r="B506">
        <f t="shared" si="28"/>
        <v>2023</v>
      </c>
      <c r="C506" t="str">
        <f t="shared" si="29"/>
        <v>July</v>
      </c>
      <c r="D506" t="s">
        <v>142</v>
      </c>
      <c r="E506" t="s">
        <v>24</v>
      </c>
      <c r="F506" t="s">
        <v>11</v>
      </c>
      <c r="G506" t="s">
        <v>33</v>
      </c>
      <c r="H506" t="str">
        <f t="shared" si="30"/>
        <v>Medium</v>
      </c>
      <c r="I506">
        <v>352</v>
      </c>
      <c r="J506">
        <v>83.79</v>
      </c>
      <c r="K506" s="3">
        <f t="shared" si="31"/>
        <v>0.23803977272727275</v>
      </c>
      <c r="L506">
        <v>2</v>
      </c>
      <c r="M506" t="s">
        <v>22</v>
      </c>
    </row>
    <row r="507" spans="1:13" x14ac:dyDescent="0.25">
      <c r="A507">
        <v>1506</v>
      </c>
      <c r="B507">
        <f t="shared" si="28"/>
        <v>2023</v>
      </c>
      <c r="C507" t="str">
        <f t="shared" si="29"/>
        <v>May</v>
      </c>
      <c r="D507" t="s">
        <v>121</v>
      </c>
      <c r="E507" t="s">
        <v>24</v>
      </c>
      <c r="F507" t="s">
        <v>27</v>
      </c>
      <c r="G507" t="s">
        <v>95</v>
      </c>
      <c r="H507" t="str">
        <f t="shared" si="30"/>
        <v>High</v>
      </c>
      <c r="I507">
        <v>4011</v>
      </c>
      <c r="J507">
        <v>1169.7</v>
      </c>
      <c r="K507" s="3">
        <f t="shared" si="31"/>
        <v>0.29162303664921468</v>
      </c>
      <c r="L507">
        <v>7</v>
      </c>
      <c r="M507" t="s">
        <v>13</v>
      </c>
    </row>
    <row r="508" spans="1:13" x14ac:dyDescent="0.25">
      <c r="A508">
        <v>1507</v>
      </c>
      <c r="B508">
        <f t="shared" si="28"/>
        <v>2023</v>
      </c>
      <c r="C508" t="str">
        <f t="shared" si="29"/>
        <v>October</v>
      </c>
      <c r="D508" t="s">
        <v>288</v>
      </c>
      <c r="E508" t="s">
        <v>24</v>
      </c>
      <c r="F508" t="s">
        <v>27</v>
      </c>
      <c r="G508" t="s">
        <v>36</v>
      </c>
      <c r="H508" t="str">
        <f t="shared" si="30"/>
        <v>High</v>
      </c>
      <c r="I508">
        <v>3712</v>
      </c>
      <c r="J508">
        <v>642.09</v>
      </c>
      <c r="K508" s="3">
        <f t="shared" si="31"/>
        <v>0.17297683189655172</v>
      </c>
      <c r="L508">
        <v>8</v>
      </c>
      <c r="M508" t="s">
        <v>13</v>
      </c>
    </row>
    <row r="509" spans="1:13" x14ac:dyDescent="0.25">
      <c r="A509">
        <v>1508</v>
      </c>
      <c r="B509">
        <f t="shared" si="28"/>
        <v>2023</v>
      </c>
      <c r="C509" t="str">
        <f t="shared" si="29"/>
        <v>March</v>
      </c>
      <c r="D509" t="s">
        <v>303</v>
      </c>
      <c r="E509" t="s">
        <v>17</v>
      </c>
      <c r="F509" t="s">
        <v>11</v>
      </c>
      <c r="G509" t="s">
        <v>84</v>
      </c>
      <c r="H509" t="str">
        <f t="shared" si="30"/>
        <v>Medium</v>
      </c>
      <c r="I509">
        <v>204</v>
      </c>
      <c r="J509">
        <v>21.84</v>
      </c>
      <c r="K509" s="3">
        <f t="shared" si="31"/>
        <v>0.10705882352941176</v>
      </c>
      <c r="L509">
        <v>4</v>
      </c>
      <c r="M509" t="s">
        <v>13</v>
      </c>
    </row>
    <row r="510" spans="1:13" x14ac:dyDescent="0.25">
      <c r="A510">
        <v>1509</v>
      </c>
      <c r="B510">
        <f t="shared" si="28"/>
        <v>2023</v>
      </c>
      <c r="C510" t="str">
        <f t="shared" si="29"/>
        <v>November</v>
      </c>
      <c r="D510" t="s">
        <v>219</v>
      </c>
      <c r="E510" t="s">
        <v>24</v>
      </c>
      <c r="F510" t="s">
        <v>11</v>
      </c>
      <c r="G510" t="s">
        <v>84</v>
      </c>
      <c r="H510" t="str">
        <f t="shared" si="30"/>
        <v>Low</v>
      </c>
      <c r="I510">
        <v>172</v>
      </c>
      <c r="J510">
        <v>14.01</v>
      </c>
      <c r="K510" s="3">
        <f t="shared" si="31"/>
        <v>8.1453488372093028E-2</v>
      </c>
      <c r="L510">
        <v>1</v>
      </c>
      <c r="M510" t="s">
        <v>13</v>
      </c>
    </row>
    <row r="511" spans="1:13" x14ac:dyDescent="0.25">
      <c r="A511">
        <v>1510</v>
      </c>
      <c r="B511">
        <f t="shared" si="28"/>
        <v>2023</v>
      </c>
      <c r="C511" t="str">
        <f t="shared" si="29"/>
        <v>August</v>
      </c>
      <c r="D511" t="s">
        <v>304</v>
      </c>
      <c r="E511" t="s">
        <v>19</v>
      </c>
      <c r="F511" t="s">
        <v>20</v>
      </c>
      <c r="G511" t="s">
        <v>21</v>
      </c>
      <c r="H511" t="str">
        <f t="shared" si="30"/>
        <v>Medium</v>
      </c>
      <c r="I511">
        <v>422</v>
      </c>
      <c r="J511">
        <v>76.010000000000005</v>
      </c>
      <c r="K511" s="3">
        <f t="shared" si="31"/>
        <v>0.18011848341232228</v>
      </c>
      <c r="L511">
        <v>2</v>
      </c>
      <c r="M511" t="s">
        <v>13</v>
      </c>
    </row>
    <row r="512" spans="1:13" x14ac:dyDescent="0.25">
      <c r="A512">
        <v>1511</v>
      </c>
      <c r="B512">
        <f t="shared" si="28"/>
        <v>2023</v>
      </c>
      <c r="C512" t="str">
        <f t="shared" si="29"/>
        <v>November</v>
      </c>
      <c r="D512" t="s">
        <v>219</v>
      </c>
      <c r="E512" t="s">
        <v>19</v>
      </c>
      <c r="F512" t="s">
        <v>11</v>
      </c>
      <c r="G512" t="s">
        <v>12</v>
      </c>
      <c r="H512" t="str">
        <f t="shared" si="30"/>
        <v>High</v>
      </c>
      <c r="I512">
        <v>1458</v>
      </c>
      <c r="J512">
        <v>139.26</v>
      </c>
      <c r="K512" s="3">
        <f t="shared" si="31"/>
        <v>9.5514403292181069E-2</v>
      </c>
      <c r="L512">
        <v>9</v>
      </c>
      <c r="M512" t="s">
        <v>22</v>
      </c>
    </row>
    <row r="513" spans="1:13" x14ac:dyDescent="0.25">
      <c r="A513">
        <v>1512</v>
      </c>
      <c r="B513">
        <f t="shared" si="28"/>
        <v>2023</v>
      </c>
      <c r="C513" t="str">
        <f t="shared" si="29"/>
        <v>April</v>
      </c>
      <c r="D513" t="s">
        <v>198</v>
      </c>
      <c r="E513" t="s">
        <v>19</v>
      </c>
      <c r="F513" t="s">
        <v>20</v>
      </c>
      <c r="G513" t="s">
        <v>55</v>
      </c>
      <c r="H513" t="str">
        <f t="shared" si="30"/>
        <v>High</v>
      </c>
      <c r="I513">
        <v>5985</v>
      </c>
      <c r="J513">
        <v>1745.64</v>
      </c>
      <c r="K513" s="3">
        <f t="shared" si="31"/>
        <v>0.29166917293233086</v>
      </c>
      <c r="L513">
        <v>9</v>
      </c>
      <c r="M513" t="s">
        <v>30</v>
      </c>
    </row>
    <row r="514" spans="1:13" x14ac:dyDescent="0.25">
      <c r="A514">
        <v>1513</v>
      </c>
      <c r="B514">
        <f t="shared" ref="B514:B577" si="32">YEAR(D514)</f>
        <v>2023</v>
      </c>
      <c r="C514" t="str">
        <f t="shared" ref="C514:C577" si="33">TEXT(D514,"mmmm")</f>
        <v>March</v>
      </c>
      <c r="D514" t="s">
        <v>305</v>
      </c>
      <c r="E514" t="s">
        <v>17</v>
      </c>
      <c r="F514" t="s">
        <v>11</v>
      </c>
      <c r="G514" t="s">
        <v>15</v>
      </c>
      <c r="H514" t="str">
        <f t="shared" ref="H514:H577" si="34">IF(I514&lt;=200,"Low",IF(I514&lt;=600,"Medium","High"))</f>
        <v>Low</v>
      </c>
      <c r="I514">
        <v>177</v>
      </c>
      <c r="J514">
        <v>14.17</v>
      </c>
      <c r="K514" s="3">
        <f t="shared" ref="K514:K577" si="35">J514/I514</f>
        <v>8.0056497175141239E-2</v>
      </c>
      <c r="L514">
        <v>1</v>
      </c>
      <c r="M514" t="s">
        <v>13</v>
      </c>
    </row>
    <row r="515" spans="1:13" x14ac:dyDescent="0.25">
      <c r="A515">
        <v>1514</v>
      </c>
      <c r="B515">
        <f t="shared" si="32"/>
        <v>2023</v>
      </c>
      <c r="C515" t="str">
        <f t="shared" si="33"/>
        <v>June</v>
      </c>
      <c r="D515" t="s">
        <v>306</v>
      </c>
      <c r="E515" t="s">
        <v>24</v>
      </c>
      <c r="F515" t="s">
        <v>20</v>
      </c>
      <c r="G515" t="s">
        <v>42</v>
      </c>
      <c r="H515" t="str">
        <f t="shared" si="34"/>
        <v>High</v>
      </c>
      <c r="I515">
        <v>6370</v>
      </c>
      <c r="J515">
        <v>1400.07</v>
      </c>
      <c r="K515" s="3">
        <f t="shared" si="35"/>
        <v>0.21979120879120878</v>
      </c>
      <c r="L515">
        <v>7</v>
      </c>
      <c r="M515" t="s">
        <v>22</v>
      </c>
    </row>
    <row r="516" spans="1:13" x14ac:dyDescent="0.25">
      <c r="A516">
        <v>1515</v>
      </c>
      <c r="B516">
        <f t="shared" si="32"/>
        <v>2023</v>
      </c>
      <c r="C516" t="str">
        <f t="shared" si="33"/>
        <v>May</v>
      </c>
      <c r="D516" t="s">
        <v>106</v>
      </c>
      <c r="E516" t="s">
        <v>10</v>
      </c>
      <c r="F516" t="s">
        <v>11</v>
      </c>
      <c r="G516" t="s">
        <v>12</v>
      </c>
      <c r="H516" t="str">
        <f t="shared" si="34"/>
        <v>High</v>
      </c>
      <c r="I516">
        <v>720</v>
      </c>
      <c r="J516">
        <v>101.59</v>
      </c>
      <c r="K516" s="3">
        <f t="shared" si="35"/>
        <v>0.14109722222222223</v>
      </c>
      <c r="L516">
        <v>9</v>
      </c>
      <c r="M516" t="s">
        <v>13</v>
      </c>
    </row>
    <row r="517" spans="1:13" x14ac:dyDescent="0.25">
      <c r="A517">
        <v>1516</v>
      </c>
      <c r="B517">
        <f t="shared" si="32"/>
        <v>2023</v>
      </c>
      <c r="C517" t="str">
        <f t="shared" si="33"/>
        <v>January</v>
      </c>
      <c r="D517" t="s">
        <v>302</v>
      </c>
      <c r="E517" t="s">
        <v>19</v>
      </c>
      <c r="F517" t="s">
        <v>20</v>
      </c>
      <c r="G517" t="s">
        <v>55</v>
      </c>
      <c r="H517" t="str">
        <f t="shared" si="34"/>
        <v>High</v>
      </c>
      <c r="I517">
        <v>2190</v>
      </c>
      <c r="J517">
        <v>238.15</v>
      </c>
      <c r="K517" s="3">
        <f t="shared" si="35"/>
        <v>0.10874429223744292</v>
      </c>
      <c r="L517">
        <v>5</v>
      </c>
      <c r="M517" t="s">
        <v>13</v>
      </c>
    </row>
    <row r="518" spans="1:13" x14ac:dyDescent="0.25">
      <c r="A518">
        <v>1517</v>
      </c>
      <c r="B518">
        <f t="shared" si="32"/>
        <v>2023</v>
      </c>
      <c r="C518" t="str">
        <f t="shared" si="33"/>
        <v>March</v>
      </c>
      <c r="D518" t="s">
        <v>135</v>
      </c>
      <c r="E518" t="s">
        <v>24</v>
      </c>
      <c r="F518" t="s">
        <v>20</v>
      </c>
      <c r="G518" t="s">
        <v>39</v>
      </c>
      <c r="H518" t="str">
        <f t="shared" si="34"/>
        <v>High</v>
      </c>
      <c r="I518">
        <v>5463</v>
      </c>
      <c r="J518">
        <v>806</v>
      </c>
      <c r="K518" s="3">
        <f t="shared" si="35"/>
        <v>0.14753798279333699</v>
      </c>
      <c r="L518">
        <v>9</v>
      </c>
      <c r="M518" t="s">
        <v>22</v>
      </c>
    </row>
    <row r="519" spans="1:13" x14ac:dyDescent="0.25">
      <c r="A519">
        <v>1518</v>
      </c>
      <c r="B519">
        <f t="shared" si="32"/>
        <v>2023</v>
      </c>
      <c r="C519" t="str">
        <f t="shared" si="33"/>
        <v>June</v>
      </c>
      <c r="D519" t="s">
        <v>53</v>
      </c>
      <c r="E519" t="s">
        <v>19</v>
      </c>
      <c r="F519" t="s">
        <v>27</v>
      </c>
      <c r="G519" t="s">
        <v>95</v>
      </c>
      <c r="H519" t="str">
        <f t="shared" si="34"/>
        <v>High</v>
      </c>
      <c r="I519">
        <v>6000</v>
      </c>
      <c r="J519">
        <v>1260.79</v>
      </c>
      <c r="K519" s="3">
        <f t="shared" si="35"/>
        <v>0.21013166666666666</v>
      </c>
      <c r="L519">
        <v>8</v>
      </c>
      <c r="M519" t="s">
        <v>30</v>
      </c>
    </row>
    <row r="520" spans="1:13" x14ac:dyDescent="0.25">
      <c r="A520">
        <v>1519</v>
      </c>
      <c r="B520">
        <f t="shared" si="32"/>
        <v>2023</v>
      </c>
      <c r="C520" t="str">
        <f t="shared" si="33"/>
        <v>April</v>
      </c>
      <c r="D520" t="s">
        <v>82</v>
      </c>
      <c r="E520" t="s">
        <v>19</v>
      </c>
      <c r="F520" t="s">
        <v>27</v>
      </c>
      <c r="G520" t="s">
        <v>28</v>
      </c>
      <c r="H520" t="str">
        <f t="shared" si="34"/>
        <v>High</v>
      </c>
      <c r="I520">
        <v>2288</v>
      </c>
      <c r="J520">
        <v>502.12</v>
      </c>
      <c r="K520" s="3">
        <f t="shared" si="35"/>
        <v>0.21945804195804197</v>
      </c>
      <c r="L520">
        <v>4</v>
      </c>
      <c r="M520" t="s">
        <v>13</v>
      </c>
    </row>
    <row r="521" spans="1:13" x14ac:dyDescent="0.25">
      <c r="A521">
        <v>1520</v>
      </c>
      <c r="B521">
        <f t="shared" si="32"/>
        <v>2023</v>
      </c>
      <c r="C521" t="str">
        <f t="shared" si="33"/>
        <v>February</v>
      </c>
      <c r="D521" t="s">
        <v>307</v>
      </c>
      <c r="E521" t="s">
        <v>17</v>
      </c>
      <c r="F521" t="s">
        <v>20</v>
      </c>
      <c r="G521" t="s">
        <v>25</v>
      </c>
      <c r="H521" t="str">
        <f t="shared" si="34"/>
        <v>High</v>
      </c>
      <c r="I521">
        <v>5460</v>
      </c>
      <c r="J521">
        <v>1809.86</v>
      </c>
      <c r="K521" s="3">
        <f t="shared" si="35"/>
        <v>0.33147619047619048</v>
      </c>
      <c r="L521">
        <v>7</v>
      </c>
      <c r="M521" t="s">
        <v>22</v>
      </c>
    </row>
    <row r="522" spans="1:13" x14ac:dyDescent="0.25">
      <c r="A522">
        <v>1521</v>
      </c>
      <c r="B522">
        <f t="shared" si="32"/>
        <v>2023</v>
      </c>
      <c r="C522" t="str">
        <f t="shared" si="33"/>
        <v>October</v>
      </c>
      <c r="D522" t="s">
        <v>240</v>
      </c>
      <c r="E522" t="s">
        <v>24</v>
      </c>
      <c r="F522" t="s">
        <v>27</v>
      </c>
      <c r="G522" t="s">
        <v>73</v>
      </c>
      <c r="H522" t="str">
        <f t="shared" si="34"/>
        <v>High</v>
      </c>
      <c r="I522">
        <v>4245</v>
      </c>
      <c r="J522">
        <v>911.53</v>
      </c>
      <c r="K522" s="3">
        <f t="shared" si="35"/>
        <v>0.21473027090694935</v>
      </c>
      <c r="L522">
        <v>5</v>
      </c>
      <c r="M522" t="s">
        <v>30</v>
      </c>
    </row>
    <row r="523" spans="1:13" x14ac:dyDescent="0.25">
      <c r="A523">
        <v>1522</v>
      </c>
      <c r="B523">
        <f t="shared" si="32"/>
        <v>2023</v>
      </c>
      <c r="C523" t="str">
        <f t="shared" si="33"/>
        <v>April</v>
      </c>
      <c r="D523" t="s">
        <v>203</v>
      </c>
      <c r="E523" t="s">
        <v>17</v>
      </c>
      <c r="F523" t="s">
        <v>20</v>
      </c>
      <c r="G523" t="s">
        <v>21</v>
      </c>
      <c r="H523" t="str">
        <f t="shared" si="34"/>
        <v>High</v>
      </c>
      <c r="I523">
        <v>1980</v>
      </c>
      <c r="J523">
        <v>348.73</v>
      </c>
      <c r="K523" s="3">
        <f t="shared" si="35"/>
        <v>0.17612626262626263</v>
      </c>
      <c r="L523">
        <v>4</v>
      </c>
      <c r="M523" t="s">
        <v>22</v>
      </c>
    </row>
    <row r="524" spans="1:13" x14ac:dyDescent="0.25">
      <c r="A524">
        <v>1523</v>
      </c>
      <c r="B524">
        <f t="shared" si="32"/>
        <v>2023</v>
      </c>
      <c r="C524" t="str">
        <f t="shared" si="33"/>
        <v>December</v>
      </c>
      <c r="D524" t="s">
        <v>102</v>
      </c>
      <c r="E524" t="s">
        <v>10</v>
      </c>
      <c r="F524" t="s">
        <v>20</v>
      </c>
      <c r="G524" t="s">
        <v>42</v>
      </c>
      <c r="H524" t="str">
        <f t="shared" si="34"/>
        <v>High</v>
      </c>
      <c r="I524">
        <v>744</v>
      </c>
      <c r="J524">
        <v>229.87</v>
      </c>
      <c r="K524" s="3">
        <f t="shared" si="35"/>
        <v>0.30896505376344086</v>
      </c>
      <c r="L524">
        <v>8</v>
      </c>
      <c r="M524" t="s">
        <v>13</v>
      </c>
    </row>
    <row r="525" spans="1:13" x14ac:dyDescent="0.25">
      <c r="A525">
        <v>1524</v>
      </c>
      <c r="B525">
        <f t="shared" si="32"/>
        <v>2023</v>
      </c>
      <c r="C525" t="str">
        <f t="shared" si="33"/>
        <v>May</v>
      </c>
      <c r="D525" t="s">
        <v>9</v>
      </c>
      <c r="E525" t="s">
        <v>19</v>
      </c>
      <c r="F525" t="s">
        <v>27</v>
      </c>
      <c r="G525" t="s">
        <v>73</v>
      </c>
      <c r="H525" t="str">
        <f t="shared" si="34"/>
        <v>High</v>
      </c>
      <c r="I525">
        <v>5384</v>
      </c>
      <c r="J525">
        <v>1009.11</v>
      </c>
      <c r="K525" s="3">
        <f t="shared" si="35"/>
        <v>0.18742756315007431</v>
      </c>
      <c r="L525">
        <v>8</v>
      </c>
      <c r="M525" t="s">
        <v>13</v>
      </c>
    </row>
    <row r="526" spans="1:13" x14ac:dyDescent="0.25">
      <c r="A526">
        <v>1525</v>
      </c>
      <c r="B526">
        <f t="shared" si="32"/>
        <v>2023</v>
      </c>
      <c r="C526" t="str">
        <f t="shared" si="33"/>
        <v>August</v>
      </c>
      <c r="D526" t="s">
        <v>14</v>
      </c>
      <c r="E526" t="s">
        <v>10</v>
      </c>
      <c r="F526" t="s">
        <v>11</v>
      </c>
      <c r="G526" t="s">
        <v>33</v>
      </c>
      <c r="H526" t="str">
        <f t="shared" si="34"/>
        <v>High</v>
      </c>
      <c r="I526">
        <v>1104</v>
      </c>
      <c r="J526">
        <v>191.84</v>
      </c>
      <c r="K526" s="3">
        <f t="shared" si="35"/>
        <v>0.17376811594202898</v>
      </c>
      <c r="L526">
        <v>8</v>
      </c>
      <c r="M526" t="s">
        <v>13</v>
      </c>
    </row>
    <row r="527" spans="1:13" x14ac:dyDescent="0.25">
      <c r="A527">
        <v>1526</v>
      </c>
      <c r="B527">
        <f t="shared" si="32"/>
        <v>2023</v>
      </c>
      <c r="C527" t="str">
        <f t="shared" si="33"/>
        <v>December</v>
      </c>
      <c r="D527" t="s">
        <v>301</v>
      </c>
      <c r="E527" t="s">
        <v>19</v>
      </c>
      <c r="F527" t="s">
        <v>11</v>
      </c>
      <c r="G527" t="s">
        <v>33</v>
      </c>
      <c r="H527" t="str">
        <f t="shared" si="34"/>
        <v>High</v>
      </c>
      <c r="I527">
        <v>1674</v>
      </c>
      <c r="J527">
        <v>137.72999999999999</v>
      </c>
      <c r="K527" s="3">
        <f t="shared" si="35"/>
        <v>8.2275985663082432E-2</v>
      </c>
      <c r="L527">
        <v>9</v>
      </c>
      <c r="M527" t="s">
        <v>30</v>
      </c>
    </row>
    <row r="528" spans="1:13" x14ac:dyDescent="0.25">
      <c r="A528">
        <v>1527</v>
      </c>
      <c r="B528">
        <f t="shared" si="32"/>
        <v>2023</v>
      </c>
      <c r="C528" t="str">
        <f t="shared" si="33"/>
        <v>February</v>
      </c>
      <c r="D528" t="s">
        <v>29</v>
      </c>
      <c r="E528" t="s">
        <v>19</v>
      </c>
      <c r="F528" t="s">
        <v>11</v>
      </c>
      <c r="G528" t="s">
        <v>33</v>
      </c>
      <c r="H528" t="str">
        <f t="shared" si="34"/>
        <v>Medium</v>
      </c>
      <c r="I528">
        <v>456</v>
      </c>
      <c r="J528">
        <v>59.52</v>
      </c>
      <c r="K528" s="3">
        <f t="shared" si="35"/>
        <v>0.13052631578947368</v>
      </c>
      <c r="L528">
        <v>6</v>
      </c>
      <c r="M528" t="s">
        <v>13</v>
      </c>
    </row>
    <row r="529" spans="1:13" x14ac:dyDescent="0.25">
      <c r="A529">
        <v>1528</v>
      </c>
      <c r="B529">
        <f t="shared" si="32"/>
        <v>2023</v>
      </c>
      <c r="C529" t="str">
        <f t="shared" si="33"/>
        <v>November</v>
      </c>
      <c r="D529" t="s">
        <v>308</v>
      </c>
      <c r="E529" t="s">
        <v>24</v>
      </c>
      <c r="F529" t="s">
        <v>27</v>
      </c>
      <c r="G529" t="s">
        <v>36</v>
      </c>
      <c r="H529" t="str">
        <f t="shared" si="34"/>
        <v>High</v>
      </c>
      <c r="I529">
        <v>2028</v>
      </c>
      <c r="J529">
        <v>394.37</v>
      </c>
      <c r="K529" s="3">
        <f t="shared" si="35"/>
        <v>0.19446252465483235</v>
      </c>
      <c r="L529">
        <v>6</v>
      </c>
      <c r="M529" t="s">
        <v>22</v>
      </c>
    </row>
    <row r="530" spans="1:13" x14ac:dyDescent="0.25">
      <c r="A530">
        <v>1529</v>
      </c>
      <c r="B530">
        <f t="shared" si="32"/>
        <v>2023</v>
      </c>
      <c r="C530" t="str">
        <f t="shared" si="33"/>
        <v>May</v>
      </c>
      <c r="D530" t="s">
        <v>261</v>
      </c>
      <c r="E530" t="s">
        <v>24</v>
      </c>
      <c r="F530" t="s">
        <v>27</v>
      </c>
      <c r="G530" t="s">
        <v>73</v>
      </c>
      <c r="H530" t="str">
        <f t="shared" si="34"/>
        <v>High</v>
      </c>
      <c r="I530">
        <v>5880</v>
      </c>
      <c r="J530">
        <v>2025.09</v>
      </c>
      <c r="K530" s="3">
        <f t="shared" si="35"/>
        <v>0.34440306122448977</v>
      </c>
      <c r="L530">
        <v>8</v>
      </c>
      <c r="M530" t="s">
        <v>22</v>
      </c>
    </row>
    <row r="531" spans="1:13" x14ac:dyDescent="0.25">
      <c r="A531">
        <v>1530</v>
      </c>
      <c r="B531">
        <f t="shared" si="32"/>
        <v>2023</v>
      </c>
      <c r="C531" t="str">
        <f t="shared" si="33"/>
        <v>May</v>
      </c>
      <c r="D531" t="s">
        <v>309</v>
      </c>
      <c r="E531" t="s">
        <v>10</v>
      </c>
      <c r="F531" t="s">
        <v>11</v>
      </c>
      <c r="G531" t="s">
        <v>33</v>
      </c>
      <c r="H531" t="str">
        <f t="shared" si="34"/>
        <v>Medium</v>
      </c>
      <c r="I531">
        <v>240</v>
      </c>
      <c r="J531">
        <v>28.65</v>
      </c>
      <c r="K531" s="3">
        <f t="shared" si="35"/>
        <v>0.119375</v>
      </c>
      <c r="L531">
        <v>4</v>
      </c>
      <c r="M531" t="s">
        <v>13</v>
      </c>
    </row>
    <row r="532" spans="1:13" x14ac:dyDescent="0.25">
      <c r="A532">
        <v>1531</v>
      </c>
      <c r="B532">
        <f t="shared" si="32"/>
        <v>2023</v>
      </c>
      <c r="C532" t="str">
        <f t="shared" si="33"/>
        <v>April</v>
      </c>
      <c r="D532" t="s">
        <v>70</v>
      </c>
      <c r="E532" t="s">
        <v>19</v>
      </c>
      <c r="F532" t="s">
        <v>11</v>
      </c>
      <c r="G532" t="s">
        <v>33</v>
      </c>
      <c r="H532" t="str">
        <f t="shared" si="34"/>
        <v>High</v>
      </c>
      <c r="I532">
        <v>1197</v>
      </c>
      <c r="J532">
        <v>262.85000000000002</v>
      </c>
      <c r="K532" s="3">
        <f t="shared" si="35"/>
        <v>0.21959064327485381</v>
      </c>
      <c r="L532">
        <v>7</v>
      </c>
      <c r="M532" t="s">
        <v>30</v>
      </c>
    </row>
    <row r="533" spans="1:13" x14ac:dyDescent="0.25">
      <c r="A533">
        <v>1532</v>
      </c>
      <c r="B533">
        <f t="shared" si="32"/>
        <v>2023</v>
      </c>
      <c r="C533" t="str">
        <f t="shared" si="33"/>
        <v>May</v>
      </c>
      <c r="D533" t="s">
        <v>126</v>
      </c>
      <c r="E533" t="s">
        <v>19</v>
      </c>
      <c r="F533" t="s">
        <v>11</v>
      </c>
      <c r="G533" t="s">
        <v>44</v>
      </c>
      <c r="H533" t="str">
        <f t="shared" si="34"/>
        <v>Medium</v>
      </c>
      <c r="I533">
        <v>315</v>
      </c>
      <c r="J533">
        <v>83.93</v>
      </c>
      <c r="K533" s="3">
        <f t="shared" si="35"/>
        <v>0.26644444444444448</v>
      </c>
      <c r="L533">
        <v>9</v>
      </c>
      <c r="M533" t="s">
        <v>22</v>
      </c>
    </row>
    <row r="534" spans="1:13" x14ac:dyDescent="0.25">
      <c r="A534">
        <v>1533</v>
      </c>
      <c r="B534">
        <f t="shared" si="32"/>
        <v>2023</v>
      </c>
      <c r="C534" t="str">
        <f t="shared" si="33"/>
        <v>November</v>
      </c>
      <c r="D534" t="s">
        <v>232</v>
      </c>
      <c r="E534" t="s">
        <v>24</v>
      </c>
      <c r="F534" t="s">
        <v>20</v>
      </c>
      <c r="G534" t="s">
        <v>21</v>
      </c>
      <c r="H534" t="str">
        <f t="shared" si="34"/>
        <v>High</v>
      </c>
      <c r="I534">
        <v>2002</v>
      </c>
      <c r="J534">
        <v>355.27</v>
      </c>
      <c r="K534" s="3">
        <f t="shared" si="35"/>
        <v>0.17745754245754244</v>
      </c>
      <c r="L534">
        <v>2</v>
      </c>
      <c r="M534" t="s">
        <v>22</v>
      </c>
    </row>
    <row r="535" spans="1:13" x14ac:dyDescent="0.25">
      <c r="A535">
        <v>1534</v>
      </c>
      <c r="B535">
        <f t="shared" si="32"/>
        <v>2023</v>
      </c>
      <c r="C535" t="str">
        <f t="shared" si="33"/>
        <v>January</v>
      </c>
      <c r="D535" t="s">
        <v>49</v>
      </c>
      <c r="E535" t="s">
        <v>24</v>
      </c>
      <c r="F535" t="s">
        <v>11</v>
      </c>
      <c r="G535" t="s">
        <v>15</v>
      </c>
      <c r="H535" t="str">
        <f t="shared" si="34"/>
        <v>High</v>
      </c>
      <c r="I535">
        <v>1281</v>
      </c>
      <c r="J535">
        <v>435.59</v>
      </c>
      <c r="K535" s="3">
        <f t="shared" si="35"/>
        <v>0.34003903200624508</v>
      </c>
      <c r="L535">
        <v>7</v>
      </c>
      <c r="M535" t="s">
        <v>22</v>
      </c>
    </row>
    <row r="536" spans="1:13" x14ac:dyDescent="0.25">
      <c r="A536">
        <v>1535</v>
      </c>
      <c r="B536">
        <f t="shared" si="32"/>
        <v>2023</v>
      </c>
      <c r="C536" t="str">
        <f t="shared" si="33"/>
        <v>July</v>
      </c>
      <c r="D536" t="s">
        <v>310</v>
      </c>
      <c r="E536" t="s">
        <v>17</v>
      </c>
      <c r="F536" t="s">
        <v>20</v>
      </c>
      <c r="G536" t="s">
        <v>39</v>
      </c>
      <c r="H536" t="str">
        <f t="shared" si="34"/>
        <v>High</v>
      </c>
      <c r="I536">
        <v>6750</v>
      </c>
      <c r="J536">
        <v>1354.53</v>
      </c>
      <c r="K536" s="3">
        <f t="shared" si="35"/>
        <v>0.20067111111111111</v>
      </c>
      <c r="L536">
        <v>6</v>
      </c>
      <c r="M536" t="s">
        <v>22</v>
      </c>
    </row>
    <row r="537" spans="1:13" x14ac:dyDescent="0.25">
      <c r="A537">
        <v>1536</v>
      </c>
      <c r="B537">
        <f t="shared" si="32"/>
        <v>2023</v>
      </c>
      <c r="C537" t="str">
        <f t="shared" si="33"/>
        <v>November</v>
      </c>
      <c r="D537" t="s">
        <v>311</v>
      </c>
      <c r="E537" t="s">
        <v>24</v>
      </c>
      <c r="F537" t="s">
        <v>20</v>
      </c>
      <c r="G537" t="s">
        <v>55</v>
      </c>
      <c r="H537" t="str">
        <f t="shared" si="34"/>
        <v>High</v>
      </c>
      <c r="I537">
        <v>1269</v>
      </c>
      <c r="J537">
        <v>246.05</v>
      </c>
      <c r="K537" s="3">
        <f t="shared" si="35"/>
        <v>0.19389282899921198</v>
      </c>
      <c r="L537">
        <v>3</v>
      </c>
      <c r="M537" t="s">
        <v>22</v>
      </c>
    </row>
    <row r="538" spans="1:13" x14ac:dyDescent="0.25">
      <c r="A538">
        <v>1537</v>
      </c>
      <c r="B538">
        <f t="shared" si="32"/>
        <v>2023</v>
      </c>
      <c r="C538" t="str">
        <f t="shared" si="33"/>
        <v>February</v>
      </c>
      <c r="D538" t="s">
        <v>213</v>
      </c>
      <c r="E538" t="s">
        <v>19</v>
      </c>
      <c r="F538" t="s">
        <v>11</v>
      </c>
      <c r="G538" t="s">
        <v>15</v>
      </c>
      <c r="H538" t="str">
        <f t="shared" si="34"/>
        <v>Medium</v>
      </c>
      <c r="I538">
        <v>270</v>
      </c>
      <c r="J538">
        <v>44.7</v>
      </c>
      <c r="K538" s="3">
        <f t="shared" si="35"/>
        <v>0.16555555555555557</v>
      </c>
      <c r="L538">
        <v>3</v>
      </c>
      <c r="M538" t="s">
        <v>30</v>
      </c>
    </row>
    <row r="539" spans="1:13" x14ac:dyDescent="0.25">
      <c r="A539">
        <v>1538</v>
      </c>
      <c r="B539">
        <f t="shared" si="32"/>
        <v>2023</v>
      </c>
      <c r="C539" t="str">
        <f t="shared" si="33"/>
        <v>August</v>
      </c>
      <c r="D539" t="s">
        <v>137</v>
      </c>
      <c r="E539" t="s">
        <v>19</v>
      </c>
      <c r="F539" t="s">
        <v>27</v>
      </c>
      <c r="G539" t="s">
        <v>73</v>
      </c>
      <c r="H539" t="str">
        <f t="shared" si="34"/>
        <v>High</v>
      </c>
      <c r="I539">
        <v>3666</v>
      </c>
      <c r="J539">
        <v>458.89</v>
      </c>
      <c r="K539" s="3">
        <f t="shared" si="35"/>
        <v>0.12517457719585379</v>
      </c>
      <c r="L539">
        <v>6</v>
      </c>
      <c r="M539" t="s">
        <v>22</v>
      </c>
    </row>
    <row r="540" spans="1:13" x14ac:dyDescent="0.25">
      <c r="A540">
        <v>1539</v>
      </c>
      <c r="B540">
        <f t="shared" si="32"/>
        <v>2023</v>
      </c>
      <c r="C540" t="str">
        <f t="shared" si="33"/>
        <v>May</v>
      </c>
      <c r="D540" t="s">
        <v>126</v>
      </c>
      <c r="E540" t="s">
        <v>17</v>
      </c>
      <c r="F540" t="s">
        <v>20</v>
      </c>
      <c r="G540" t="s">
        <v>21</v>
      </c>
      <c r="H540" t="str">
        <f t="shared" si="34"/>
        <v>High</v>
      </c>
      <c r="I540">
        <v>1022</v>
      </c>
      <c r="J540">
        <v>110.18</v>
      </c>
      <c r="K540" s="3">
        <f t="shared" si="35"/>
        <v>0.1078082191780822</v>
      </c>
      <c r="L540">
        <v>2</v>
      </c>
      <c r="M540" t="s">
        <v>13</v>
      </c>
    </row>
    <row r="541" spans="1:13" x14ac:dyDescent="0.25">
      <c r="A541">
        <v>1540</v>
      </c>
      <c r="B541">
        <f t="shared" si="32"/>
        <v>2023</v>
      </c>
      <c r="C541" t="str">
        <f t="shared" si="33"/>
        <v>July</v>
      </c>
      <c r="D541" t="s">
        <v>150</v>
      </c>
      <c r="E541" t="s">
        <v>10</v>
      </c>
      <c r="F541" t="s">
        <v>20</v>
      </c>
      <c r="G541" t="s">
        <v>55</v>
      </c>
      <c r="H541" t="str">
        <f t="shared" si="34"/>
        <v>High</v>
      </c>
      <c r="I541">
        <v>2250</v>
      </c>
      <c r="J541">
        <v>555.5</v>
      </c>
      <c r="K541" s="3">
        <f t="shared" si="35"/>
        <v>0.24688888888888888</v>
      </c>
      <c r="L541">
        <v>9</v>
      </c>
      <c r="M541" t="s">
        <v>30</v>
      </c>
    </row>
    <row r="542" spans="1:13" x14ac:dyDescent="0.25">
      <c r="A542">
        <v>1541</v>
      </c>
      <c r="B542">
        <f t="shared" si="32"/>
        <v>2023</v>
      </c>
      <c r="C542" t="str">
        <f t="shared" si="33"/>
        <v>May</v>
      </c>
      <c r="D542" t="s">
        <v>186</v>
      </c>
      <c r="E542" t="s">
        <v>24</v>
      </c>
      <c r="F542" t="s">
        <v>20</v>
      </c>
      <c r="G542" t="s">
        <v>55</v>
      </c>
      <c r="H542" t="str">
        <f t="shared" si="34"/>
        <v>High</v>
      </c>
      <c r="I542">
        <v>4935</v>
      </c>
      <c r="J542">
        <v>569.72</v>
      </c>
      <c r="K542" s="3">
        <f t="shared" si="35"/>
        <v>0.11544478216818643</v>
      </c>
      <c r="L542">
        <v>5</v>
      </c>
      <c r="M542" t="s">
        <v>30</v>
      </c>
    </row>
    <row r="543" spans="1:13" x14ac:dyDescent="0.25">
      <c r="A543">
        <v>1542</v>
      </c>
      <c r="B543">
        <f t="shared" si="32"/>
        <v>2023</v>
      </c>
      <c r="C543" t="str">
        <f t="shared" si="33"/>
        <v>July</v>
      </c>
      <c r="D543" t="s">
        <v>312</v>
      </c>
      <c r="E543" t="s">
        <v>10</v>
      </c>
      <c r="F543" t="s">
        <v>20</v>
      </c>
      <c r="G543" t="s">
        <v>42</v>
      </c>
      <c r="H543" t="str">
        <f t="shared" si="34"/>
        <v>High</v>
      </c>
      <c r="I543">
        <v>6330</v>
      </c>
      <c r="J543">
        <v>2104.17</v>
      </c>
      <c r="K543" s="3">
        <f t="shared" si="35"/>
        <v>0.33241232227488154</v>
      </c>
      <c r="L543">
        <v>6</v>
      </c>
      <c r="M543" t="s">
        <v>13</v>
      </c>
    </row>
    <row r="544" spans="1:13" x14ac:dyDescent="0.25">
      <c r="A544">
        <v>1543</v>
      </c>
      <c r="B544">
        <f t="shared" si="32"/>
        <v>2023</v>
      </c>
      <c r="C544" t="str">
        <f t="shared" si="33"/>
        <v>October</v>
      </c>
      <c r="D544" t="s">
        <v>112</v>
      </c>
      <c r="E544" t="s">
        <v>17</v>
      </c>
      <c r="F544" t="s">
        <v>11</v>
      </c>
      <c r="G544" t="s">
        <v>84</v>
      </c>
      <c r="H544" t="str">
        <f t="shared" si="34"/>
        <v>Medium</v>
      </c>
      <c r="I544">
        <v>516</v>
      </c>
      <c r="J544">
        <v>163.5</v>
      </c>
      <c r="K544" s="3">
        <f t="shared" si="35"/>
        <v>0.31686046511627908</v>
      </c>
      <c r="L544">
        <v>3</v>
      </c>
      <c r="M544" t="s">
        <v>13</v>
      </c>
    </row>
    <row r="545" spans="1:13" x14ac:dyDescent="0.25">
      <c r="A545">
        <v>1544</v>
      </c>
      <c r="B545">
        <f t="shared" si="32"/>
        <v>2023</v>
      </c>
      <c r="C545" t="str">
        <f t="shared" si="33"/>
        <v>October</v>
      </c>
      <c r="D545" t="s">
        <v>112</v>
      </c>
      <c r="E545" t="s">
        <v>24</v>
      </c>
      <c r="F545" t="s">
        <v>27</v>
      </c>
      <c r="G545" t="s">
        <v>73</v>
      </c>
      <c r="H545" t="str">
        <f t="shared" si="34"/>
        <v>High</v>
      </c>
      <c r="I545">
        <v>2408</v>
      </c>
      <c r="J545">
        <v>430.46</v>
      </c>
      <c r="K545" s="3">
        <f t="shared" si="35"/>
        <v>0.17876245847176078</v>
      </c>
      <c r="L545">
        <v>4</v>
      </c>
      <c r="M545" t="s">
        <v>22</v>
      </c>
    </row>
    <row r="546" spans="1:13" x14ac:dyDescent="0.25">
      <c r="A546">
        <v>1545</v>
      </c>
      <c r="B546">
        <f t="shared" si="32"/>
        <v>2023</v>
      </c>
      <c r="C546" t="str">
        <f t="shared" si="33"/>
        <v>January</v>
      </c>
      <c r="D546" t="s">
        <v>313</v>
      </c>
      <c r="E546" t="s">
        <v>24</v>
      </c>
      <c r="F546" t="s">
        <v>27</v>
      </c>
      <c r="G546" t="s">
        <v>36</v>
      </c>
      <c r="H546" t="str">
        <f t="shared" si="34"/>
        <v>High</v>
      </c>
      <c r="I546">
        <v>4518</v>
      </c>
      <c r="J546">
        <v>933.8</v>
      </c>
      <c r="K546" s="3">
        <f t="shared" si="35"/>
        <v>0.20668437361664452</v>
      </c>
      <c r="L546">
        <v>9</v>
      </c>
      <c r="M546" t="s">
        <v>30</v>
      </c>
    </row>
    <row r="547" spans="1:13" x14ac:dyDescent="0.25">
      <c r="A547">
        <v>1546</v>
      </c>
      <c r="B547">
        <f t="shared" si="32"/>
        <v>2023</v>
      </c>
      <c r="C547" t="str">
        <f t="shared" si="33"/>
        <v>January</v>
      </c>
      <c r="D547" t="s">
        <v>244</v>
      </c>
      <c r="E547" t="s">
        <v>19</v>
      </c>
      <c r="F547" t="s">
        <v>20</v>
      </c>
      <c r="G547" t="s">
        <v>55</v>
      </c>
      <c r="H547" t="str">
        <f t="shared" si="34"/>
        <v>High</v>
      </c>
      <c r="I547">
        <v>4753</v>
      </c>
      <c r="J547">
        <v>1402.74</v>
      </c>
      <c r="K547" s="3">
        <f t="shared" si="35"/>
        <v>0.29512728802861349</v>
      </c>
      <c r="L547">
        <v>7</v>
      </c>
      <c r="M547" t="s">
        <v>22</v>
      </c>
    </row>
    <row r="548" spans="1:13" x14ac:dyDescent="0.25">
      <c r="A548">
        <v>1547</v>
      </c>
      <c r="B548">
        <f t="shared" si="32"/>
        <v>2023</v>
      </c>
      <c r="C548" t="str">
        <f t="shared" si="33"/>
        <v>October</v>
      </c>
      <c r="D548" t="s">
        <v>314</v>
      </c>
      <c r="E548" t="s">
        <v>17</v>
      </c>
      <c r="F548" t="s">
        <v>11</v>
      </c>
      <c r="G548" t="s">
        <v>44</v>
      </c>
      <c r="H548" t="str">
        <f t="shared" si="34"/>
        <v>Medium</v>
      </c>
      <c r="I548">
        <v>357</v>
      </c>
      <c r="J548">
        <v>97.47</v>
      </c>
      <c r="K548" s="3">
        <f t="shared" si="35"/>
        <v>0.27302521008403363</v>
      </c>
      <c r="L548">
        <v>7</v>
      </c>
      <c r="M548" t="s">
        <v>22</v>
      </c>
    </row>
    <row r="549" spans="1:13" x14ac:dyDescent="0.25">
      <c r="A549">
        <v>1548</v>
      </c>
      <c r="B549">
        <f t="shared" si="32"/>
        <v>2023</v>
      </c>
      <c r="C549" t="str">
        <f t="shared" si="33"/>
        <v>May</v>
      </c>
      <c r="D549" t="s">
        <v>315</v>
      </c>
      <c r="E549" t="s">
        <v>19</v>
      </c>
      <c r="F549" t="s">
        <v>11</v>
      </c>
      <c r="G549" t="s">
        <v>84</v>
      </c>
      <c r="H549" t="str">
        <f t="shared" si="34"/>
        <v>Low</v>
      </c>
      <c r="I549">
        <v>142</v>
      </c>
      <c r="J549">
        <v>31.17</v>
      </c>
      <c r="K549" s="3">
        <f t="shared" si="35"/>
        <v>0.21950704225352113</v>
      </c>
      <c r="L549">
        <v>2</v>
      </c>
      <c r="M549" t="s">
        <v>30</v>
      </c>
    </row>
    <row r="550" spans="1:13" x14ac:dyDescent="0.25">
      <c r="A550">
        <v>1549</v>
      </c>
      <c r="B550">
        <f t="shared" si="32"/>
        <v>2023</v>
      </c>
      <c r="C550" t="str">
        <f t="shared" si="33"/>
        <v>September</v>
      </c>
      <c r="D550" t="s">
        <v>316</v>
      </c>
      <c r="E550" t="s">
        <v>24</v>
      </c>
      <c r="F550" t="s">
        <v>11</v>
      </c>
      <c r="G550" t="s">
        <v>44</v>
      </c>
      <c r="H550" t="str">
        <f t="shared" si="34"/>
        <v>Low</v>
      </c>
      <c r="I550">
        <v>135</v>
      </c>
      <c r="J550">
        <v>17.45</v>
      </c>
      <c r="K550" s="3">
        <f t="shared" si="35"/>
        <v>0.12925925925925924</v>
      </c>
      <c r="L550">
        <v>5</v>
      </c>
      <c r="M550" t="s">
        <v>13</v>
      </c>
    </row>
    <row r="551" spans="1:13" x14ac:dyDescent="0.25">
      <c r="A551">
        <v>1550</v>
      </c>
      <c r="B551">
        <f t="shared" si="32"/>
        <v>2023</v>
      </c>
      <c r="C551" t="str">
        <f t="shared" si="33"/>
        <v>August</v>
      </c>
      <c r="D551" t="s">
        <v>143</v>
      </c>
      <c r="E551" t="s">
        <v>19</v>
      </c>
      <c r="F551" t="s">
        <v>27</v>
      </c>
      <c r="G551" t="s">
        <v>28</v>
      </c>
      <c r="H551" t="str">
        <f t="shared" si="34"/>
        <v>High</v>
      </c>
      <c r="I551">
        <v>1710</v>
      </c>
      <c r="J551">
        <v>145.75</v>
      </c>
      <c r="K551" s="3">
        <f t="shared" si="35"/>
        <v>8.5233918128654967E-2</v>
      </c>
      <c r="L551">
        <v>5</v>
      </c>
      <c r="M551" t="s">
        <v>13</v>
      </c>
    </row>
    <row r="552" spans="1:13" x14ac:dyDescent="0.25">
      <c r="A552">
        <v>1551</v>
      </c>
      <c r="B552">
        <f t="shared" si="32"/>
        <v>2023</v>
      </c>
      <c r="C552" t="str">
        <f t="shared" si="33"/>
        <v>February</v>
      </c>
      <c r="D552" t="s">
        <v>173</v>
      </c>
      <c r="E552" t="s">
        <v>10</v>
      </c>
      <c r="F552" t="s">
        <v>20</v>
      </c>
      <c r="G552" t="s">
        <v>39</v>
      </c>
      <c r="H552" t="str">
        <f t="shared" si="34"/>
        <v>High</v>
      </c>
      <c r="I552">
        <v>3155</v>
      </c>
      <c r="J552">
        <v>625.87</v>
      </c>
      <c r="K552" s="3">
        <f t="shared" si="35"/>
        <v>0.19837400950871634</v>
      </c>
      <c r="L552">
        <v>5</v>
      </c>
      <c r="M552" t="s">
        <v>30</v>
      </c>
    </row>
    <row r="553" spans="1:13" x14ac:dyDescent="0.25">
      <c r="A553">
        <v>1552</v>
      </c>
      <c r="B553">
        <f t="shared" si="32"/>
        <v>2023</v>
      </c>
      <c r="C553" t="str">
        <f t="shared" si="33"/>
        <v>January</v>
      </c>
      <c r="D553" t="s">
        <v>132</v>
      </c>
      <c r="E553" t="s">
        <v>10</v>
      </c>
      <c r="F553" t="s">
        <v>20</v>
      </c>
      <c r="G553" t="s">
        <v>21</v>
      </c>
      <c r="H553" t="str">
        <f t="shared" si="34"/>
        <v>High</v>
      </c>
      <c r="I553">
        <v>4192</v>
      </c>
      <c r="J553">
        <v>688.01</v>
      </c>
      <c r="K553" s="3">
        <f t="shared" si="35"/>
        <v>0.16412452290076335</v>
      </c>
      <c r="L553">
        <v>8</v>
      </c>
      <c r="M553" t="s">
        <v>30</v>
      </c>
    </row>
    <row r="554" spans="1:13" x14ac:dyDescent="0.25">
      <c r="A554">
        <v>1553</v>
      </c>
      <c r="B554">
        <f t="shared" si="32"/>
        <v>2023</v>
      </c>
      <c r="C554" t="str">
        <f t="shared" si="33"/>
        <v>January</v>
      </c>
      <c r="D554" t="s">
        <v>50</v>
      </c>
      <c r="E554" t="s">
        <v>19</v>
      </c>
      <c r="F554" t="s">
        <v>27</v>
      </c>
      <c r="G554" t="s">
        <v>73</v>
      </c>
      <c r="H554" t="str">
        <f t="shared" si="34"/>
        <v>High</v>
      </c>
      <c r="I554">
        <v>1794</v>
      </c>
      <c r="J554">
        <v>272.61</v>
      </c>
      <c r="K554" s="3">
        <f t="shared" si="35"/>
        <v>0.15195652173913043</v>
      </c>
      <c r="L554">
        <v>6</v>
      </c>
      <c r="M554" t="s">
        <v>13</v>
      </c>
    </row>
    <row r="555" spans="1:13" x14ac:dyDescent="0.25">
      <c r="A555">
        <v>1554</v>
      </c>
      <c r="B555">
        <f t="shared" si="32"/>
        <v>2023</v>
      </c>
      <c r="C555" t="str">
        <f t="shared" si="33"/>
        <v>April</v>
      </c>
      <c r="D555" t="s">
        <v>157</v>
      </c>
      <c r="E555" t="s">
        <v>19</v>
      </c>
      <c r="F555" t="s">
        <v>27</v>
      </c>
      <c r="G555" t="s">
        <v>28</v>
      </c>
      <c r="H555" t="str">
        <f t="shared" si="34"/>
        <v>High</v>
      </c>
      <c r="I555">
        <v>810</v>
      </c>
      <c r="J555">
        <v>277.94</v>
      </c>
      <c r="K555" s="3">
        <f t="shared" si="35"/>
        <v>0.34313580246913578</v>
      </c>
      <c r="L555">
        <v>5</v>
      </c>
      <c r="M555" t="s">
        <v>30</v>
      </c>
    </row>
    <row r="556" spans="1:13" x14ac:dyDescent="0.25">
      <c r="A556">
        <v>1555</v>
      </c>
      <c r="B556">
        <f t="shared" si="32"/>
        <v>2023</v>
      </c>
      <c r="C556" t="str">
        <f t="shared" si="33"/>
        <v>May</v>
      </c>
      <c r="D556" t="s">
        <v>186</v>
      </c>
      <c r="E556" t="s">
        <v>19</v>
      </c>
      <c r="F556" t="s">
        <v>11</v>
      </c>
      <c r="G556" t="s">
        <v>33</v>
      </c>
      <c r="H556" t="str">
        <f t="shared" si="34"/>
        <v>Low</v>
      </c>
      <c r="I556">
        <v>198</v>
      </c>
      <c r="J556">
        <v>57.06</v>
      </c>
      <c r="K556" s="3">
        <f t="shared" si="35"/>
        <v>0.28818181818181821</v>
      </c>
      <c r="L556">
        <v>1</v>
      </c>
      <c r="M556" t="s">
        <v>22</v>
      </c>
    </row>
    <row r="557" spans="1:13" x14ac:dyDescent="0.25">
      <c r="A557">
        <v>1556</v>
      </c>
      <c r="B557">
        <f t="shared" si="32"/>
        <v>2023</v>
      </c>
      <c r="C557" t="str">
        <f t="shared" si="33"/>
        <v>December</v>
      </c>
      <c r="D557" t="s">
        <v>179</v>
      </c>
      <c r="E557" t="s">
        <v>19</v>
      </c>
      <c r="F557" t="s">
        <v>11</v>
      </c>
      <c r="G557" t="s">
        <v>33</v>
      </c>
      <c r="H557" t="str">
        <f t="shared" si="34"/>
        <v>High</v>
      </c>
      <c r="I557">
        <v>855</v>
      </c>
      <c r="J557">
        <v>236.51</v>
      </c>
      <c r="K557" s="3">
        <f t="shared" si="35"/>
        <v>0.27661988304093565</v>
      </c>
      <c r="L557">
        <v>5</v>
      </c>
      <c r="M557" t="s">
        <v>22</v>
      </c>
    </row>
    <row r="558" spans="1:13" x14ac:dyDescent="0.25">
      <c r="A558">
        <v>1557</v>
      </c>
      <c r="B558">
        <f t="shared" si="32"/>
        <v>2023</v>
      </c>
      <c r="C558" t="str">
        <f t="shared" si="33"/>
        <v>September</v>
      </c>
      <c r="D558" t="s">
        <v>300</v>
      </c>
      <c r="E558" t="s">
        <v>10</v>
      </c>
      <c r="F558" t="s">
        <v>11</v>
      </c>
      <c r="G558" t="s">
        <v>15</v>
      </c>
      <c r="H558" t="str">
        <f t="shared" si="34"/>
        <v>Low</v>
      </c>
      <c r="I558">
        <v>115</v>
      </c>
      <c r="J558">
        <v>36.020000000000003</v>
      </c>
      <c r="K558" s="3">
        <f t="shared" si="35"/>
        <v>0.31321739130434784</v>
      </c>
      <c r="L558">
        <v>5</v>
      </c>
      <c r="M558" t="s">
        <v>22</v>
      </c>
    </row>
    <row r="559" spans="1:13" x14ac:dyDescent="0.25">
      <c r="A559">
        <v>1558</v>
      </c>
      <c r="B559">
        <f t="shared" si="32"/>
        <v>2023</v>
      </c>
      <c r="C559" t="str">
        <f t="shared" si="33"/>
        <v>August</v>
      </c>
      <c r="D559" t="s">
        <v>304</v>
      </c>
      <c r="E559" t="s">
        <v>17</v>
      </c>
      <c r="F559" t="s">
        <v>20</v>
      </c>
      <c r="G559" t="s">
        <v>42</v>
      </c>
      <c r="H559" t="str">
        <f t="shared" si="34"/>
        <v>High</v>
      </c>
      <c r="I559">
        <v>660</v>
      </c>
      <c r="J559">
        <v>156.99</v>
      </c>
      <c r="K559" s="3">
        <f t="shared" si="35"/>
        <v>0.23786363636363639</v>
      </c>
      <c r="L559">
        <v>6</v>
      </c>
      <c r="M559" t="s">
        <v>13</v>
      </c>
    </row>
    <row r="560" spans="1:13" x14ac:dyDescent="0.25">
      <c r="A560">
        <v>1559</v>
      </c>
      <c r="B560">
        <f t="shared" si="32"/>
        <v>2023</v>
      </c>
      <c r="C560" t="str">
        <f t="shared" si="33"/>
        <v>October</v>
      </c>
      <c r="D560" t="s">
        <v>317</v>
      </c>
      <c r="E560" t="s">
        <v>10</v>
      </c>
      <c r="F560" t="s">
        <v>27</v>
      </c>
      <c r="G560" t="s">
        <v>36</v>
      </c>
      <c r="H560" t="str">
        <f t="shared" si="34"/>
        <v>High</v>
      </c>
      <c r="I560">
        <v>4240</v>
      </c>
      <c r="J560">
        <v>623.94000000000005</v>
      </c>
      <c r="K560" s="3">
        <f t="shared" si="35"/>
        <v>0.1471556603773585</v>
      </c>
      <c r="L560">
        <v>8</v>
      </c>
      <c r="M560" t="s">
        <v>30</v>
      </c>
    </row>
    <row r="561" spans="1:13" x14ac:dyDescent="0.25">
      <c r="A561">
        <v>1560</v>
      </c>
      <c r="B561">
        <f t="shared" si="32"/>
        <v>2023</v>
      </c>
      <c r="C561" t="str">
        <f t="shared" si="33"/>
        <v>January</v>
      </c>
      <c r="D561" t="s">
        <v>247</v>
      </c>
      <c r="E561" t="s">
        <v>24</v>
      </c>
      <c r="F561" t="s">
        <v>27</v>
      </c>
      <c r="G561" t="s">
        <v>28</v>
      </c>
      <c r="H561" t="str">
        <f t="shared" si="34"/>
        <v>High</v>
      </c>
      <c r="I561">
        <v>810</v>
      </c>
      <c r="J561">
        <v>218.18</v>
      </c>
      <c r="K561" s="3">
        <f t="shared" si="35"/>
        <v>0.26935802469135806</v>
      </c>
      <c r="L561">
        <v>1</v>
      </c>
      <c r="M561" t="s">
        <v>13</v>
      </c>
    </row>
    <row r="562" spans="1:13" x14ac:dyDescent="0.25">
      <c r="A562">
        <v>1561</v>
      </c>
      <c r="B562">
        <f t="shared" si="32"/>
        <v>2023</v>
      </c>
      <c r="C562" t="str">
        <f t="shared" si="33"/>
        <v>June</v>
      </c>
      <c r="D562" t="s">
        <v>318</v>
      </c>
      <c r="E562" t="s">
        <v>19</v>
      </c>
      <c r="F562" t="s">
        <v>20</v>
      </c>
      <c r="G562" t="s">
        <v>21</v>
      </c>
      <c r="H562" t="str">
        <f t="shared" si="34"/>
        <v>High</v>
      </c>
      <c r="I562">
        <v>7119</v>
      </c>
      <c r="J562">
        <v>940.42</v>
      </c>
      <c r="K562" s="3">
        <f t="shared" si="35"/>
        <v>0.13210001404691671</v>
      </c>
      <c r="L562">
        <v>9</v>
      </c>
      <c r="M562" t="s">
        <v>30</v>
      </c>
    </row>
    <row r="563" spans="1:13" x14ac:dyDescent="0.25">
      <c r="A563">
        <v>1562</v>
      </c>
      <c r="B563">
        <f t="shared" si="32"/>
        <v>2023</v>
      </c>
      <c r="C563" t="str">
        <f t="shared" si="33"/>
        <v>March</v>
      </c>
      <c r="D563" t="s">
        <v>189</v>
      </c>
      <c r="E563" t="s">
        <v>24</v>
      </c>
      <c r="F563" t="s">
        <v>11</v>
      </c>
      <c r="G563" t="s">
        <v>84</v>
      </c>
      <c r="H563" t="str">
        <f t="shared" si="34"/>
        <v>High</v>
      </c>
      <c r="I563">
        <v>950</v>
      </c>
      <c r="J563">
        <v>188.22</v>
      </c>
      <c r="K563" s="3">
        <f t="shared" si="35"/>
        <v>0.19812631578947368</v>
      </c>
      <c r="L563">
        <v>5</v>
      </c>
      <c r="M563" t="s">
        <v>13</v>
      </c>
    </row>
    <row r="564" spans="1:13" x14ac:dyDescent="0.25">
      <c r="A564">
        <v>1563</v>
      </c>
      <c r="B564">
        <f t="shared" si="32"/>
        <v>2023</v>
      </c>
      <c r="C564" t="str">
        <f t="shared" si="33"/>
        <v>April</v>
      </c>
      <c r="D564" t="s">
        <v>176</v>
      </c>
      <c r="E564" t="s">
        <v>17</v>
      </c>
      <c r="F564" t="s">
        <v>27</v>
      </c>
      <c r="G564" t="s">
        <v>95</v>
      </c>
      <c r="H564" t="str">
        <f t="shared" si="34"/>
        <v>High</v>
      </c>
      <c r="I564">
        <v>4329</v>
      </c>
      <c r="J564">
        <v>893.79</v>
      </c>
      <c r="K564" s="3">
        <f t="shared" si="35"/>
        <v>0.20646569646569646</v>
      </c>
      <c r="L564">
        <v>9</v>
      </c>
      <c r="M564" t="s">
        <v>13</v>
      </c>
    </row>
    <row r="565" spans="1:13" x14ac:dyDescent="0.25">
      <c r="A565">
        <v>1564</v>
      </c>
      <c r="B565">
        <f t="shared" si="32"/>
        <v>2023</v>
      </c>
      <c r="C565" t="str">
        <f t="shared" si="33"/>
        <v>September</v>
      </c>
      <c r="D565" t="s">
        <v>319</v>
      </c>
      <c r="E565" t="s">
        <v>17</v>
      </c>
      <c r="F565" t="s">
        <v>11</v>
      </c>
      <c r="G565" t="s">
        <v>15</v>
      </c>
      <c r="H565" t="str">
        <f t="shared" si="34"/>
        <v>Medium</v>
      </c>
      <c r="I565">
        <v>231</v>
      </c>
      <c r="J565">
        <v>52.26</v>
      </c>
      <c r="K565" s="3">
        <f t="shared" si="35"/>
        <v>0.22623376623376623</v>
      </c>
      <c r="L565">
        <v>3</v>
      </c>
      <c r="M565" t="s">
        <v>30</v>
      </c>
    </row>
    <row r="566" spans="1:13" x14ac:dyDescent="0.25">
      <c r="A566">
        <v>1565</v>
      </c>
      <c r="B566">
        <f t="shared" si="32"/>
        <v>2023</v>
      </c>
      <c r="C566" t="str">
        <f t="shared" si="33"/>
        <v>April</v>
      </c>
      <c r="D566" t="s">
        <v>320</v>
      </c>
      <c r="E566" t="s">
        <v>19</v>
      </c>
      <c r="F566" t="s">
        <v>27</v>
      </c>
      <c r="G566" t="s">
        <v>28</v>
      </c>
      <c r="H566" t="str">
        <f t="shared" si="34"/>
        <v>High</v>
      </c>
      <c r="I566">
        <v>785</v>
      </c>
      <c r="J566">
        <v>130.77000000000001</v>
      </c>
      <c r="K566" s="3">
        <f t="shared" si="35"/>
        <v>0.16658598726114651</v>
      </c>
      <c r="L566">
        <v>1</v>
      </c>
      <c r="M566" t="s">
        <v>13</v>
      </c>
    </row>
    <row r="567" spans="1:13" x14ac:dyDescent="0.25">
      <c r="A567">
        <v>1566</v>
      </c>
      <c r="B567">
        <f t="shared" si="32"/>
        <v>2023</v>
      </c>
      <c r="C567" t="str">
        <f t="shared" si="33"/>
        <v>September</v>
      </c>
      <c r="D567" t="s">
        <v>321</v>
      </c>
      <c r="E567" t="s">
        <v>19</v>
      </c>
      <c r="F567" t="s">
        <v>20</v>
      </c>
      <c r="G567" t="s">
        <v>39</v>
      </c>
      <c r="H567" t="str">
        <f t="shared" si="34"/>
        <v>High</v>
      </c>
      <c r="I567">
        <v>3160</v>
      </c>
      <c r="J567">
        <v>528.04</v>
      </c>
      <c r="K567" s="3">
        <f t="shared" si="35"/>
        <v>0.16710126582278481</v>
      </c>
      <c r="L567">
        <v>8</v>
      </c>
      <c r="M567" t="s">
        <v>30</v>
      </c>
    </row>
    <row r="568" spans="1:13" x14ac:dyDescent="0.25">
      <c r="A568">
        <v>1567</v>
      </c>
      <c r="B568">
        <f t="shared" si="32"/>
        <v>2023</v>
      </c>
      <c r="C568" t="str">
        <f t="shared" si="33"/>
        <v>September</v>
      </c>
      <c r="D568" t="s">
        <v>98</v>
      </c>
      <c r="E568" t="s">
        <v>10</v>
      </c>
      <c r="F568" t="s">
        <v>11</v>
      </c>
      <c r="G568" t="s">
        <v>44</v>
      </c>
      <c r="H568" t="str">
        <f t="shared" si="34"/>
        <v>Low</v>
      </c>
      <c r="I568">
        <v>110</v>
      </c>
      <c r="J568">
        <v>34.74</v>
      </c>
      <c r="K568" s="3">
        <f t="shared" si="35"/>
        <v>0.31581818181818183</v>
      </c>
      <c r="L568">
        <v>2</v>
      </c>
      <c r="M568" t="s">
        <v>30</v>
      </c>
    </row>
    <row r="569" spans="1:13" x14ac:dyDescent="0.25">
      <c r="A569">
        <v>1568</v>
      </c>
      <c r="B569">
        <f t="shared" si="32"/>
        <v>2023</v>
      </c>
      <c r="C569" t="str">
        <f t="shared" si="33"/>
        <v>February</v>
      </c>
      <c r="D569" t="s">
        <v>243</v>
      </c>
      <c r="E569" t="s">
        <v>19</v>
      </c>
      <c r="F569" t="s">
        <v>20</v>
      </c>
      <c r="G569" t="s">
        <v>42</v>
      </c>
      <c r="H569" t="str">
        <f t="shared" si="34"/>
        <v>High</v>
      </c>
      <c r="I569">
        <v>875</v>
      </c>
      <c r="J569">
        <v>194.23</v>
      </c>
      <c r="K569" s="3">
        <f t="shared" si="35"/>
        <v>0.22197714285714285</v>
      </c>
      <c r="L569">
        <v>1</v>
      </c>
      <c r="M569" t="s">
        <v>30</v>
      </c>
    </row>
    <row r="570" spans="1:13" x14ac:dyDescent="0.25">
      <c r="A570">
        <v>1569</v>
      </c>
      <c r="B570">
        <f t="shared" si="32"/>
        <v>2023</v>
      </c>
      <c r="C570" t="str">
        <f t="shared" si="33"/>
        <v>July</v>
      </c>
      <c r="D570" t="s">
        <v>322</v>
      </c>
      <c r="E570" t="s">
        <v>24</v>
      </c>
      <c r="F570" t="s">
        <v>11</v>
      </c>
      <c r="G570" t="s">
        <v>15</v>
      </c>
      <c r="H570" t="str">
        <f t="shared" si="34"/>
        <v>Medium</v>
      </c>
      <c r="I570">
        <v>252</v>
      </c>
      <c r="J570">
        <v>64.78</v>
      </c>
      <c r="K570" s="3">
        <f t="shared" si="35"/>
        <v>0.25706349206349205</v>
      </c>
      <c r="L570">
        <v>4</v>
      </c>
      <c r="M570" t="s">
        <v>30</v>
      </c>
    </row>
    <row r="571" spans="1:13" x14ac:dyDescent="0.25">
      <c r="A571">
        <v>1570</v>
      </c>
      <c r="B571">
        <f t="shared" si="32"/>
        <v>2023</v>
      </c>
      <c r="C571" t="str">
        <f t="shared" si="33"/>
        <v>October</v>
      </c>
      <c r="D571" t="s">
        <v>283</v>
      </c>
      <c r="E571" t="s">
        <v>10</v>
      </c>
      <c r="F571" t="s">
        <v>20</v>
      </c>
      <c r="G571" t="s">
        <v>55</v>
      </c>
      <c r="H571" t="str">
        <f t="shared" si="34"/>
        <v>High</v>
      </c>
      <c r="I571">
        <v>5845</v>
      </c>
      <c r="J571">
        <v>1767.43</v>
      </c>
      <c r="K571" s="3">
        <f t="shared" si="35"/>
        <v>0.30238323353293417</v>
      </c>
      <c r="L571">
        <v>7</v>
      </c>
      <c r="M571" t="s">
        <v>22</v>
      </c>
    </row>
    <row r="572" spans="1:13" x14ac:dyDescent="0.25">
      <c r="A572">
        <v>1571</v>
      </c>
      <c r="B572">
        <f t="shared" si="32"/>
        <v>2023</v>
      </c>
      <c r="C572" t="str">
        <f t="shared" si="33"/>
        <v>February</v>
      </c>
      <c r="D572" t="s">
        <v>266</v>
      </c>
      <c r="E572" t="s">
        <v>10</v>
      </c>
      <c r="F572" t="s">
        <v>27</v>
      </c>
      <c r="G572" t="s">
        <v>28</v>
      </c>
      <c r="H572" t="str">
        <f t="shared" si="34"/>
        <v>High</v>
      </c>
      <c r="I572">
        <v>996</v>
      </c>
      <c r="J572">
        <v>274.69</v>
      </c>
      <c r="K572" s="3">
        <f t="shared" si="35"/>
        <v>0.27579317269076303</v>
      </c>
      <c r="L572">
        <v>4</v>
      </c>
      <c r="M572" t="s">
        <v>22</v>
      </c>
    </row>
    <row r="573" spans="1:13" x14ac:dyDescent="0.25">
      <c r="A573">
        <v>1572</v>
      </c>
      <c r="B573">
        <f t="shared" si="32"/>
        <v>2023</v>
      </c>
      <c r="C573" t="str">
        <f t="shared" si="33"/>
        <v>September</v>
      </c>
      <c r="D573" t="s">
        <v>323</v>
      </c>
      <c r="E573" t="s">
        <v>17</v>
      </c>
      <c r="F573" t="s">
        <v>11</v>
      </c>
      <c r="G573" t="s">
        <v>84</v>
      </c>
      <c r="H573" t="str">
        <f t="shared" si="34"/>
        <v>High</v>
      </c>
      <c r="I573">
        <v>608</v>
      </c>
      <c r="J573">
        <v>116.8</v>
      </c>
      <c r="K573" s="3">
        <f t="shared" si="35"/>
        <v>0.19210526315789472</v>
      </c>
      <c r="L573">
        <v>4</v>
      </c>
      <c r="M573" t="s">
        <v>30</v>
      </c>
    </row>
    <row r="574" spans="1:13" x14ac:dyDescent="0.25">
      <c r="A574">
        <v>1573</v>
      </c>
      <c r="B574">
        <f t="shared" si="32"/>
        <v>2023</v>
      </c>
      <c r="C574" t="str">
        <f t="shared" si="33"/>
        <v>August</v>
      </c>
      <c r="D574" t="s">
        <v>324</v>
      </c>
      <c r="E574" t="s">
        <v>24</v>
      </c>
      <c r="F574" t="s">
        <v>20</v>
      </c>
      <c r="G574" t="s">
        <v>39</v>
      </c>
      <c r="H574" t="str">
        <f t="shared" si="34"/>
        <v>High</v>
      </c>
      <c r="I574">
        <v>2051</v>
      </c>
      <c r="J574">
        <v>468.63</v>
      </c>
      <c r="K574" s="3">
        <f t="shared" si="35"/>
        <v>0.228488542174549</v>
      </c>
      <c r="L574">
        <v>7</v>
      </c>
      <c r="M574" t="s">
        <v>13</v>
      </c>
    </row>
    <row r="575" spans="1:13" x14ac:dyDescent="0.25">
      <c r="A575">
        <v>1574</v>
      </c>
      <c r="B575">
        <f t="shared" si="32"/>
        <v>2023</v>
      </c>
      <c r="C575" t="str">
        <f t="shared" si="33"/>
        <v>November</v>
      </c>
      <c r="D575" t="s">
        <v>287</v>
      </c>
      <c r="E575" t="s">
        <v>17</v>
      </c>
      <c r="F575" t="s">
        <v>11</v>
      </c>
      <c r="G575" t="s">
        <v>44</v>
      </c>
      <c r="H575" t="str">
        <f t="shared" si="34"/>
        <v>High</v>
      </c>
      <c r="I575">
        <v>1200</v>
      </c>
      <c r="J575">
        <v>417.23</v>
      </c>
      <c r="K575" s="3">
        <f t="shared" si="35"/>
        <v>0.34769166666666668</v>
      </c>
      <c r="L575">
        <v>8</v>
      </c>
      <c r="M575" t="s">
        <v>13</v>
      </c>
    </row>
    <row r="576" spans="1:13" x14ac:dyDescent="0.25">
      <c r="A576">
        <v>1575</v>
      </c>
      <c r="B576">
        <f t="shared" si="32"/>
        <v>2023</v>
      </c>
      <c r="C576" t="str">
        <f t="shared" si="33"/>
        <v>August</v>
      </c>
      <c r="D576" t="s">
        <v>52</v>
      </c>
      <c r="E576" t="s">
        <v>19</v>
      </c>
      <c r="F576" t="s">
        <v>27</v>
      </c>
      <c r="G576" t="s">
        <v>73</v>
      </c>
      <c r="H576" t="str">
        <f t="shared" si="34"/>
        <v>High</v>
      </c>
      <c r="I576">
        <v>4356</v>
      </c>
      <c r="J576">
        <v>600.09</v>
      </c>
      <c r="K576" s="3">
        <f t="shared" si="35"/>
        <v>0.13776170798898071</v>
      </c>
      <c r="L576">
        <v>6</v>
      </c>
      <c r="M576" t="s">
        <v>13</v>
      </c>
    </row>
    <row r="577" spans="1:13" x14ac:dyDescent="0.25">
      <c r="A577">
        <v>1576</v>
      </c>
      <c r="B577">
        <f t="shared" si="32"/>
        <v>2023</v>
      </c>
      <c r="C577" t="str">
        <f t="shared" si="33"/>
        <v>August</v>
      </c>
      <c r="D577" t="s">
        <v>204</v>
      </c>
      <c r="E577" t="s">
        <v>24</v>
      </c>
      <c r="F577" t="s">
        <v>11</v>
      </c>
      <c r="G577" t="s">
        <v>44</v>
      </c>
      <c r="H577" t="str">
        <f t="shared" si="34"/>
        <v>Low</v>
      </c>
      <c r="I577">
        <v>126</v>
      </c>
      <c r="J577">
        <v>43.52</v>
      </c>
      <c r="K577" s="3">
        <f t="shared" si="35"/>
        <v>0.34539682539682542</v>
      </c>
      <c r="L577">
        <v>7</v>
      </c>
      <c r="M577" t="s">
        <v>22</v>
      </c>
    </row>
    <row r="578" spans="1:13" x14ac:dyDescent="0.25">
      <c r="A578">
        <v>1577</v>
      </c>
      <c r="B578">
        <f t="shared" ref="B578:B601" si="36">YEAR(D578)</f>
        <v>2023</v>
      </c>
      <c r="C578" t="str">
        <f t="shared" ref="C578:C601" si="37">TEXT(D578,"mmmm")</f>
        <v>January</v>
      </c>
      <c r="D578" t="s">
        <v>88</v>
      </c>
      <c r="E578" t="s">
        <v>17</v>
      </c>
      <c r="F578" t="s">
        <v>11</v>
      </c>
      <c r="G578" t="s">
        <v>12</v>
      </c>
      <c r="H578" t="str">
        <f t="shared" ref="H578:H601" si="38">IF(I578&lt;=200,"Low",IF(I578&lt;=600,"Medium","High"))</f>
        <v>Medium</v>
      </c>
      <c r="I578">
        <v>450</v>
      </c>
      <c r="J578">
        <v>38.64</v>
      </c>
      <c r="K578" s="3">
        <f t="shared" ref="K578:K601" si="39">J578/I578</f>
        <v>8.5866666666666674E-2</v>
      </c>
      <c r="L578">
        <v>5</v>
      </c>
      <c r="M578" t="s">
        <v>22</v>
      </c>
    </row>
    <row r="579" spans="1:13" x14ac:dyDescent="0.25">
      <c r="A579">
        <v>1578</v>
      </c>
      <c r="B579">
        <f t="shared" si="36"/>
        <v>2023</v>
      </c>
      <c r="C579" t="str">
        <f t="shared" si="37"/>
        <v>January</v>
      </c>
      <c r="D579" t="s">
        <v>264</v>
      </c>
      <c r="E579" t="s">
        <v>17</v>
      </c>
      <c r="F579" t="s">
        <v>11</v>
      </c>
      <c r="G579" t="s">
        <v>44</v>
      </c>
      <c r="H579" t="str">
        <f t="shared" si="38"/>
        <v>Medium</v>
      </c>
      <c r="I579">
        <v>360</v>
      </c>
      <c r="J579">
        <v>54.56</v>
      </c>
      <c r="K579" s="3">
        <f t="shared" si="39"/>
        <v>0.15155555555555555</v>
      </c>
      <c r="L579">
        <v>8</v>
      </c>
      <c r="M579" t="s">
        <v>30</v>
      </c>
    </row>
    <row r="580" spans="1:13" x14ac:dyDescent="0.25">
      <c r="A580">
        <v>1579</v>
      </c>
      <c r="B580">
        <f t="shared" si="36"/>
        <v>2023</v>
      </c>
      <c r="C580" t="str">
        <f t="shared" si="37"/>
        <v>June</v>
      </c>
      <c r="D580" t="s">
        <v>269</v>
      </c>
      <c r="E580" t="s">
        <v>17</v>
      </c>
      <c r="F580" t="s">
        <v>11</v>
      </c>
      <c r="G580" t="s">
        <v>33</v>
      </c>
      <c r="H580" t="str">
        <f t="shared" si="38"/>
        <v>Low</v>
      </c>
      <c r="I580">
        <v>130</v>
      </c>
      <c r="J580">
        <v>36.17</v>
      </c>
      <c r="K580" s="3">
        <f t="shared" si="39"/>
        <v>0.27823076923076923</v>
      </c>
      <c r="L580">
        <v>2</v>
      </c>
      <c r="M580" t="s">
        <v>22</v>
      </c>
    </row>
    <row r="581" spans="1:13" x14ac:dyDescent="0.25">
      <c r="A581">
        <v>1580</v>
      </c>
      <c r="B581">
        <f t="shared" si="36"/>
        <v>2023</v>
      </c>
      <c r="C581" t="str">
        <f t="shared" si="37"/>
        <v>September</v>
      </c>
      <c r="D581" t="s">
        <v>325</v>
      </c>
      <c r="E581" t="s">
        <v>19</v>
      </c>
      <c r="F581" t="s">
        <v>11</v>
      </c>
      <c r="G581" t="s">
        <v>44</v>
      </c>
      <c r="H581" t="str">
        <f t="shared" si="38"/>
        <v>High</v>
      </c>
      <c r="I581">
        <v>1740</v>
      </c>
      <c r="J581">
        <v>280.32</v>
      </c>
      <c r="K581" s="3">
        <f t="shared" si="39"/>
        <v>0.16110344827586207</v>
      </c>
      <c r="L581">
        <v>10</v>
      </c>
      <c r="M581" t="s">
        <v>30</v>
      </c>
    </row>
    <row r="582" spans="1:13" x14ac:dyDescent="0.25">
      <c r="A582">
        <v>1581</v>
      </c>
      <c r="B582">
        <f t="shared" si="36"/>
        <v>2023</v>
      </c>
      <c r="C582" t="str">
        <f t="shared" si="37"/>
        <v>January</v>
      </c>
      <c r="D582" t="s">
        <v>180</v>
      </c>
      <c r="E582" t="s">
        <v>19</v>
      </c>
      <c r="F582" t="s">
        <v>11</v>
      </c>
      <c r="G582" t="s">
        <v>15</v>
      </c>
      <c r="H582" t="str">
        <f t="shared" si="38"/>
        <v>High</v>
      </c>
      <c r="I582">
        <v>696</v>
      </c>
      <c r="J582">
        <v>230.49</v>
      </c>
      <c r="K582" s="3">
        <f t="shared" si="39"/>
        <v>0.33116379310344829</v>
      </c>
      <c r="L582">
        <v>6</v>
      </c>
      <c r="M582" t="s">
        <v>30</v>
      </c>
    </row>
    <row r="583" spans="1:13" x14ac:dyDescent="0.25">
      <c r="A583">
        <v>1582</v>
      </c>
      <c r="B583">
        <f t="shared" si="36"/>
        <v>2023</v>
      </c>
      <c r="C583" t="str">
        <f t="shared" si="37"/>
        <v>November</v>
      </c>
      <c r="D583" t="s">
        <v>311</v>
      </c>
      <c r="E583" t="s">
        <v>10</v>
      </c>
      <c r="F583" t="s">
        <v>20</v>
      </c>
      <c r="G583" t="s">
        <v>21</v>
      </c>
      <c r="H583" t="str">
        <f t="shared" si="38"/>
        <v>High</v>
      </c>
      <c r="I583">
        <v>1330</v>
      </c>
      <c r="J583">
        <v>121.19</v>
      </c>
      <c r="K583" s="3">
        <f t="shared" si="39"/>
        <v>9.1120300751879699E-2</v>
      </c>
      <c r="L583">
        <v>7</v>
      </c>
      <c r="M583" t="s">
        <v>13</v>
      </c>
    </row>
    <row r="584" spans="1:13" x14ac:dyDescent="0.25">
      <c r="A584">
        <v>1583</v>
      </c>
      <c r="B584">
        <f t="shared" si="36"/>
        <v>2023</v>
      </c>
      <c r="C584" t="str">
        <f t="shared" si="37"/>
        <v>September</v>
      </c>
      <c r="D584" t="s">
        <v>201</v>
      </c>
      <c r="E584" t="s">
        <v>17</v>
      </c>
      <c r="F584" t="s">
        <v>11</v>
      </c>
      <c r="G584" t="s">
        <v>15</v>
      </c>
      <c r="H584" t="str">
        <f t="shared" si="38"/>
        <v>High</v>
      </c>
      <c r="I584">
        <v>728</v>
      </c>
      <c r="J584">
        <v>202.04</v>
      </c>
      <c r="K584" s="3">
        <f t="shared" si="39"/>
        <v>0.27752747252747251</v>
      </c>
      <c r="L584">
        <v>4</v>
      </c>
      <c r="M584" t="s">
        <v>22</v>
      </c>
    </row>
    <row r="585" spans="1:13" x14ac:dyDescent="0.25">
      <c r="A585">
        <v>1584</v>
      </c>
      <c r="B585">
        <f t="shared" si="36"/>
        <v>2023</v>
      </c>
      <c r="C585" t="str">
        <f t="shared" si="37"/>
        <v>August</v>
      </c>
      <c r="D585" t="s">
        <v>145</v>
      </c>
      <c r="E585" t="s">
        <v>10</v>
      </c>
      <c r="F585" t="s">
        <v>27</v>
      </c>
      <c r="G585" t="s">
        <v>95</v>
      </c>
      <c r="H585" t="str">
        <f t="shared" si="38"/>
        <v>High</v>
      </c>
      <c r="I585">
        <v>1505</v>
      </c>
      <c r="J585">
        <v>257</v>
      </c>
      <c r="K585" s="3">
        <f t="shared" si="39"/>
        <v>0.1707641196013289</v>
      </c>
      <c r="L585">
        <v>5</v>
      </c>
      <c r="M585" t="s">
        <v>30</v>
      </c>
    </row>
    <row r="586" spans="1:13" x14ac:dyDescent="0.25">
      <c r="A586">
        <v>1585</v>
      </c>
      <c r="B586">
        <f t="shared" si="36"/>
        <v>2023</v>
      </c>
      <c r="C586" t="str">
        <f t="shared" si="37"/>
        <v>February</v>
      </c>
      <c r="D586" t="s">
        <v>154</v>
      </c>
      <c r="E586" t="s">
        <v>19</v>
      </c>
      <c r="F586" t="s">
        <v>27</v>
      </c>
      <c r="G586" t="s">
        <v>28</v>
      </c>
      <c r="H586" t="str">
        <f t="shared" si="38"/>
        <v>High</v>
      </c>
      <c r="I586">
        <v>4158</v>
      </c>
      <c r="J586">
        <v>479.01</v>
      </c>
      <c r="K586" s="3">
        <f t="shared" si="39"/>
        <v>0.11520202020202019</v>
      </c>
      <c r="L586">
        <v>7</v>
      </c>
      <c r="M586" t="s">
        <v>22</v>
      </c>
    </row>
    <row r="587" spans="1:13" x14ac:dyDescent="0.25">
      <c r="A587">
        <v>1586</v>
      </c>
      <c r="B587">
        <f t="shared" si="36"/>
        <v>2023</v>
      </c>
      <c r="C587" t="str">
        <f t="shared" si="37"/>
        <v>July</v>
      </c>
      <c r="D587" t="s">
        <v>61</v>
      </c>
      <c r="E587" t="s">
        <v>17</v>
      </c>
      <c r="F587" t="s">
        <v>20</v>
      </c>
      <c r="G587" t="s">
        <v>55</v>
      </c>
      <c r="H587" t="str">
        <f t="shared" si="38"/>
        <v>High</v>
      </c>
      <c r="I587">
        <v>4810</v>
      </c>
      <c r="J587">
        <v>1679.71</v>
      </c>
      <c r="K587" s="3">
        <f t="shared" si="39"/>
        <v>0.3492120582120582</v>
      </c>
      <c r="L587">
        <v>10</v>
      </c>
      <c r="M587" t="s">
        <v>22</v>
      </c>
    </row>
    <row r="588" spans="1:13" x14ac:dyDescent="0.25">
      <c r="A588">
        <v>1587</v>
      </c>
      <c r="B588">
        <f t="shared" si="36"/>
        <v>2023</v>
      </c>
      <c r="C588" t="str">
        <f t="shared" si="37"/>
        <v>May</v>
      </c>
      <c r="D588" t="s">
        <v>118</v>
      </c>
      <c r="E588" t="s">
        <v>17</v>
      </c>
      <c r="F588" t="s">
        <v>11</v>
      </c>
      <c r="G588" t="s">
        <v>33</v>
      </c>
      <c r="H588" t="str">
        <f t="shared" si="38"/>
        <v>High</v>
      </c>
      <c r="I588">
        <v>1099</v>
      </c>
      <c r="J588">
        <v>114.51</v>
      </c>
      <c r="K588" s="3">
        <f t="shared" si="39"/>
        <v>0.10419472247497726</v>
      </c>
      <c r="L588">
        <v>7</v>
      </c>
      <c r="M588" t="s">
        <v>30</v>
      </c>
    </row>
    <row r="589" spans="1:13" x14ac:dyDescent="0.25">
      <c r="A589">
        <v>1588</v>
      </c>
      <c r="B589">
        <f t="shared" si="36"/>
        <v>2023</v>
      </c>
      <c r="C589" t="str">
        <f t="shared" si="37"/>
        <v>June</v>
      </c>
      <c r="D589" t="s">
        <v>274</v>
      </c>
      <c r="E589" t="s">
        <v>19</v>
      </c>
      <c r="F589" t="s">
        <v>11</v>
      </c>
      <c r="G589" t="s">
        <v>84</v>
      </c>
      <c r="H589" t="str">
        <f t="shared" si="38"/>
        <v>High</v>
      </c>
      <c r="I589">
        <v>648</v>
      </c>
      <c r="J589">
        <v>166.51</v>
      </c>
      <c r="K589" s="3">
        <f t="shared" si="39"/>
        <v>0.25695987654320984</v>
      </c>
      <c r="L589">
        <v>4</v>
      </c>
      <c r="M589" t="s">
        <v>22</v>
      </c>
    </row>
    <row r="590" spans="1:13" x14ac:dyDescent="0.25">
      <c r="A590">
        <v>1589</v>
      </c>
      <c r="B590">
        <f t="shared" si="36"/>
        <v>2023</v>
      </c>
      <c r="C590" t="str">
        <f t="shared" si="37"/>
        <v>August</v>
      </c>
      <c r="D590" t="s">
        <v>67</v>
      </c>
      <c r="E590" t="s">
        <v>24</v>
      </c>
      <c r="F590" t="s">
        <v>27</v>
      </c>
      <c r="G590" t="s">
        <v>36</v>
      </c>
      <c r="H590" t="str">
        <f t="shared" si="38"/>
        <v>High</v>
      </c>
      <c r="I590">
        <v>6010</v>
      </c>
      <c r="J590">
        <v>1980.52</v>
      </c>
      <c r="K590" s="3">
        <f t="shared" si="39"/>
        <v>0.32953743760399334</v>
      </c>
      <c r="L590">
        <v>10</v>
      </c>
      <c r="M590" t="s">
        <v>13</v>
      </c>
    </row>
    <row r="591" spans="1:13" x14ac:dyDescent="0.25">
      <c r="A591">
        <v>1590</v>
      </c>
      <c r="B591">
        <f t="shared" si="36"/>
        <v>2023</v>
      </c>
      <c r="C591" t="str">
        <f t="shared" si="37"/>
        <v>February</v>
      </c>
      <c r="D591" t="s">
        <v>154</v>
      </c>
      <c r="E591" t="s">
        <v>24</v>
      </c>
      <c r="F591" t="s">
        <v>20</v>
      </c>
      <c r="G591" t="s">
        <v>21</v>
      </c>
      <c r="H591" t="str">
        <f t="shared" si="38"/>
        <v>Medium</v>
      </c>
      <c r="I591">
        <v>382</v>
      </c>
      <c r="J591">
        <v>126.14</v>
      </c>
      <c r="K591" s="3">
        <f t="shared" si="39"/>
        <v>0.33020942408376963</v>
      </c>
      <c r="L591">
        <v>2</v>
      </c>
      <c r="M591" t="s">
        <v>30</v>
      </c>
    </row>
    <row r="592" spans="1:13" x14ac:dyDescent="0.25">
      <c r="A592">
        <v>1591</v>
      </c>
      <c r="B592">
        <f t="shared" si="36"/>
        <v>2023</v>
      </c>
      <c r="C592" t="str">
        <f t="shared" si="37"/>
        <v>February</v>
      </c>
      <c r="D592" t="s">
        <v>192</v>
      </c>
      <c r="E592" t="s">
        <v>24</v>
      </c>
      <c r="F592" t="s">
        <v>27</v>
      </c>
      <c r="G592" t="s">
        <v>28</v>
      </c>
      <c r="H592" t="str">
        <f t="shared" si="38"/>
        <v>High</v>
      </c>
      <c r="I592">
        <v>3160</v>
      </c>
      <c r="J592">
        <v>535.96</v>
      </c>
      <c r="K592" s="3">
        <f t="shared" si="39"/>
        <v>0.16960759493670888</v>
      </c>
      <c r="L592">
        <v>5</v>
      </c>
      <c r="M592" t="s">
        <v>13</v>
      </c>
    </row>
    <row r="593" spans="1:13" x14ac:dyDescent="0.25">
      <c r="A593">
        <v>1592</v>
      </c>
      <c r="B593">
        <f t="shared" si="36"/>
        <v>2023</v>
      </c>
      <c r="C593" t="str">
        <f t="shared" si="37"/>
        <v>October</v>
      </c>
      <c r="D593" t="s">
        <v>326</v>
      </c>
      <c r="E593" t="s">
        <v>17</v>
      </c>
      <c r="F593" t="s">
        <v>11</v>
      </c>
      <c r="G593" t="s">
        <v>15</v>
      </c>
      <c r="H593" t="str">
        <f t="shared" si="38"/>
        <v>High</v>
      </c>
      <c r="I593">
        <v>1197</v>
      </c>
      <c r="J593">
        <v>297.12</v>
      </c>
      <c r="K593" s="3">
        <f t="shared" si="39"/>
        <v>0.24822055137844612</v>
      </c>
      <c r="L593">
        <v>9</v>
      </c>
      <c r="M593" t="s">
        <v>30</v>
      </c>
    </row>
    <row r="594" spans="1:13" x14ac:dyDescent="0.25">
      <c r="A594">
        <v>1593</v>
      </c>
      <c r="B594">
        <f t="shared" si="36"/>
        <v>2023</v>
      </c>
      <c r="C594" t="str">
        <f t="shared" si="37"/>
        <v>December</v>
      </c>
      <c r="D594" t="s">
        <v>102</v>
      </c>
      <c r="E594" t="s">
        <v>19</v>
      </c>
      <c r="F594" t="s">
        <v>20</v>
      </c>
      <c r="G594" t="s">
        <v>42</v>
      </c>
      <c r="H594" t="str">
        <f t="shared" si="38"/>
        <v>High</v>
      </c>
      <c r="I594">
        <v>1521</v>
      </c>
      <c r="J594">
        <v>146.37</v>
      </c>
      <c r="K594" s="3">
        <f t="shared" si="39"/>
        <v>9.6232741617357009E-2</v>
      </c>
      <c r="L594">
        <v>9</v>
      </c>
      <c r="M594" t="s">
        <v>13</v>
      </c>
    </row>
    <row r="595" spans="1:13" x14ac:dyDescent="0.25">
      <c r="A595">
        <v>1594</v>
      </c>
      <c r="B595">
        <f t="shared" si="36"/>
        <v>2023</v>
      </c>
      <c r="C595" t="str">
        <f t="shared" si="37"/>
        <v>August</v>
      </c>
      <c r="D595" t="s">
        <v>327</v>
      </c>
      <c r="E595" t="s">
        <v>24</v>
      </c>
      <c r="F595" t="s">
        <v>20</v>
      </c>
      <c r="G595" t="s">
        <v>39</v>
      </c>
      <c r="H595" t="str">
        <f t="shared" si="38"/>
        <v>Medium</v>
      </c>
      <c r="I595">
        <v>216</v>
      </c>
      <c r="J595">
        <v>33.1</v>
      </c>
      <c r="K595" s="3">
        <f t="shared" si="39"/>
        <v>0.15324074074074076</v>
      </c>
      <c r="L595">
        <v>1</v>
      </c>
      <c r="M595" t="s">
        <v>30</v>
      </c>
    </row>
    <row r="596" spans="1:13" x14ac:dyDescent="0.25">
      <c r="A596">
        <v>1595</v>
      </c>
      <c r="B596">
        <f t="shared" si="36"/>
        <v>2023</v>
      </c>
      <c r="C596" t="str">
        <f t="shared" si="37"/>
        <v>May</v>
      </c>
      <c r="D596" t="s">
        <v>225</v>
      </c>
      <c r="E596" t="s">
        <v>10</v>
      </c>
      <c r="F596" t="s">
        <v>11</v>
      </c>
      <c r="G596" t="s">
        <v>44</v>
      </c>
      <c r="H596" t="str">
        <f t="shared" si="38"/>
        <v>High</v>
      </c>
      <c r="I596">
        <v>980</v>
      </c>
      <c r="J596">
        <v>336.81</v>
      </c>
      <c r="K596" s="3">
        <f t="shared" si="39"/>
        <v>0.34368367346938777</v>
      </c>
      <c r="L596">
        <v>7</v>
      </c>
      <c r="M596" t="s">
        <v>30</v>
      </c>
    </row>
    <row r="597" spans="1:13" x14ac:dyDescent="0.25">
      <c r="A597">
        <v>1596</v>
      </c>
      <c r="B597">
        <f t="shared" si="36"/>
        <v>2023</v>
      </c>
      <c r="C597" t="str">
        <f t="shared" si="37"/>
        <v>September</v>
      </c>
      <c r="D597" t="s">
        <v>316</v>
      </c>
      <c r="E597" t="s">
        <v>19</v>
      </c>
      <c r="F597" t="s">
        <v>20</v>
      </c>
      <c r="G597" t="s">
        <v>25</v>
      </c>
      <c r="H597" t="str">
        <f t="shared" si="38"/>
        <v>High</v>
      </c>
      <c r="I597">
        <v>922</v>
      </c>
      <c r="J597">
        <v>314.43</v>
      </c>
      <c r="K597" s="3">
        <f t="shared" si="39"/>
        <v>0.34103036876355747</v>
      </c>
      <c r="L597">
        <v>2</v>
      </c>
      <c r="M597" t="s">
        <v>13</v>
      </c>
    </row>
    <row r="598" spans="1:13" x14ac:dyDescent="0.25">
      <c r="A598">
        <v>1597</v>
      </c>
      <c r="B598">
        <f t="shared" si="36"/>
        <v>2023</v>
      </c>
      <c r="C598" t="str">
        <f t="shared" si="37"/>
        <v>September</v>
      </c>
      <c r="D598" t="s">
        <v>319</v>
      </c>
      <c r="E598" t="s">
        <v>10</v>
      </c>
      <c r="F598" t="s">
        <v>11</v>
      </c>
      <c r="G598" t="s">
        <v>12</v>
      </c>
      <c r="H598" t="str">
        <f t="shared" si="38"/>
        <v>Medium</v>
      </c>
      <c r="I598">
        <v>550</v>
      </c>
      <c r="J598">
        <v>154.54</v>
      </c>
      <c r="K598" s="3">
        <f t="shared" si="39"/>
        <v>0.28098181818181817</v>
      </c>
      <c r="L598">
        <v>5</v>
      </c>
      <c r="M598" t="s">
        <v>30</v>
      </c>
    </row>
    <row r="599" spans="1:13" x14ac:dyDescent="0.25">
      <c r="A599">
        <v>1598</v>
      </c>
      <c r="B599">
        <f t="shared" si="36"/>
        <v>2023</v>
      </c>
      <c r="C599" t="str">
        <f t="shared" si="37"/>
        <v>November</v>
      </c>
      <c r="D599" t="s">
        <v>109</v>
      </c>
      <c r="E599" t="s">
        <v>24</v>
      </c>
      <c r="F599" t="s">
        <v>20</v>
      </c>
      <c r="G599" t="s">
        <v>25</v>
      </c>
      <c r="H599" t="str">
        <f t="shared" si="38"/>
        <v>High</v>
      </c>
      <c r="I599">
        <v>2815</v>
      </c>
      <c r="J599">
        <v>842.28</v>
      </c>
      <c r="K599" s="3">
        <f t="shared" si="39"/>
        <v>0.29921136767317941</v>
      </c>
      <c r="L599">
        <v>5</v>
      </c>
      <c r="M599" t="s">
        <v>22</v>
      </c>
    </row>
    <row r="600" spans="1:13" x14ac:dyDescent="0.25">
      <c r="A600">
        <v>1599</v>
      </c>
      <c r="B600">
        <f t="shared" si="36"/>
        <v>2023</v>
      </c>
      <c r="C600" t="str">
        <f t="shared" si="37"/>
        <v>October</v>
      </c>
      <c r="D600" t="s">
        <v>288</v>
      </c>
      <c r="E600" t="s">
        <v>19</v>
      </c>
      <c r="F600" t="s">
        <v>11</v>
      </c>
      <c r="G600" t="s">
        <v>44</v>
      </c>
      <c r="H600" t="str">
        <f t="shared" si="38"/>
        <v>Medium</v>
      </c>
      <c r="I600">
        <v>485</v>
      </c>
      <c r="J600">
        <v>156.29</v>
      </c>
      <c r="K600" s="3">
        <f t="shared" si="39"/>
        <v>0.32224742268041234</v>
      </c>
      <c r="L600">
        <v>5</v>
      </c>
      <c r="M600" t="s">
        <v>30</v>
      </c>
    </row>
    <row r="601" spans="1:13" x14ac:dyDescent="0.25">
      <c r="A601">
        <v>1600</v>
      </c>
      <c r="B601">
        <f t="shared" si="36"/>
        <v>2023</v>
      </c>
      <c r="C601" t="str">
        <f t="shared" si="37"/>
        <v>July</v>
      </c>
      <c r="D601" t="s">
        <v>160</v>
      </c>
      <c r="E601" t="s">
        <v>10</v>
      </c>
      <c r="F601" t="s">
        <v>11</v>
      </c>
      <c r="G601" t="s">
        <v>33</v>
      </c>
      <c r="H601" t="str">
        <f t="shared" si="38"/>
        <v>High</v>
      </c>
      <c r="I601">
        <v>639</v>
      </c>
      <c r="J601">
        <v>149.96</v>
      </c>
      <c r="K601" s="3">
        <f t="shared" si="39"/>
        <v>0.23467918622848202</v>
      </c>
      <c r="L601">
        <v>9</v>
      </c>
      <c r="M60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HomePC</cp:lastModifiedBy>
  <cp:lastPrinted>2026-03-15T01:56:20Z</cp:lastPrinted>
  <dcterms:created xsi:type="dcterms:W3CDTF">2026-03-12T00:08:41Z</dcterms:created>
  <dcterms:modified xsi:type="dcterms:W3CDTF">2026-04-28T07:08:21Z</dcterms:modified>
</cp:coreProperties>
</file>